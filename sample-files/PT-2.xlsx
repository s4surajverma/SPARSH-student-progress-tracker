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xr:revisionPtr revIDLastSave="0" documentId="13_ncr:1_{FE78E5DE-E677-44A2-87CA-F80FBB32BDB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6A" sheetId="1" r:id="rId1"/>
    <sheet name="6B" sheetId="2" r:id="rId2"/>
    <sheet name="6C" sheetId="3" r:id="rId3"/>
    <sheet name="7A" sheetId="5" r:id="rId4"/>
    <sheet name="7B" sheetId="6" r:id="rId5"/>
    <sheet name="7C" sheetId="7" r:id="rId6"/>
    <sheet name="8A" sheetId="8" r:id="rId7"/>
    <sheet name="8B" sheetId="9" r:id="rId8"/>
    <sheet name="8C" sheetId="10" r:id="rId9"/>
    <sheet name="9A" sheetId="11" r:id="rId10"/>
    <sheet name="9B" sheetId="12" r:id="rId11"/>
    <sheet name="9C" sheetId="13" r:id="rId12"/>
    <sheet name="10A" sheetId="14" r:id="rId13"/>
    <sheet name="10B" sheetId="15" r:id="rId14"/>
    <sheet name="10C" sheetId="17" r:id="rId15"/>
    <sheet name="11A" sheetId="18" r:id="rId16"/>
    <sheet name="11B" sheetId="19" r:id="rId17"/>
    <sheet name="11C" sheetId="20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7" l="1"/>
  <c r="L61" i="20"/>
  <c r="L60" i="20"/>
  <c r="O50" i="20"/>
  <c r="M50" i="20"/>
  <c r="K50" i="20"/>
  <c r="I50" i="20"/>
  <c r="G50" i="20"/>
  <c r="E50" i="20"/>
  <c r="C50" i="20"/>
  <c r="O49" i="20"/>
  <c r="M49" i="20"/>
  <c r="K49" i="20"/>
  <c r="I49" i="20"/>
  <c r="G49" i="20"/>
  <c r="E49" i="20"/>
  <c r="C49" i="20"/>
  <c r="L48" i="20"/>
  <c r="N47" i="20"/>
  <c r="L47" i="20"/>
  <c r="J47" i="20"/>
  <c r="H47" i="20"/>
  <c r="D47" i="20"/>
  <c r="N46" i="20"/>
  <c r="L46" i="20"/>
  <c r="J46" i="20"/>
  <c r="H46" i="20"/>
  <c r="F46" i="20"/>
  <c r="D46" i="20"/>
  <c r="N45" i="20"/>
  <c r="L45" i="20"/>
  <c r="J45" i="20"/>
  <c r="H45" i="20"/>
  <c r="F45" i="20"/>
  <c r="D45" i="20"/>
  <c r="P44" i="20"/>
  <c r="N44" i="20"/>
  <c r="L44" i="20"/>
  <c r="J44" i="20"/>
  <c r="H44" i="20"/>
  <c r="F44" i="20"/>
  <c r="D44" i="20"/>
  <c r="P43" i="20"/>
  <c r="N43" i="20"/>
  <c r="L43" i="20"/>
  <c r="J43" i="20"/>
  <c r="H43" i="20"/>
  <c r="F43" i="20"/>
  <c r="D43" i="20"/>
  <c r="P42" i="20"/>
  <c r="N42" i="20"/>
  <c r="L42" i="20"/>
  <c r="J42" i="20"/>
  <c r="H42" i="20"/>
  <c r="F42" i="20"/>
  <c r="D42" i="20"/>
  <c r="P41" i="20"/>
  <c r="N41" i="20"/>
  <c r="L41" i="20"/>
  <c r="J41" i="20"/>
  <c r="H41" i="20"/>
  <c r="F41" i="20"/>
  <c r="D41" i="20"/>
  <c r="P40" i="20"/>
  <c r="N40" i="20"/>
  <c r="L40" i="20"/>
  <c r="H40" i="20"/>
  <c r="F40" i="20"/>
  <c r="D40" i="20"/>
  <c r="P39" i="20"/>
  <c r="N39" i="20"/>
  <c r="L39" i="20"/>
  <c r="J39" i="20"/>
  <c r="H39" i="20"/>
  <c r="F39" i="20"/>
  <c r="D39" i="20"/>
  <c r="P38" i="20"/>
  <c r="N38" i="20"/>
  <c r="L38" i="20"/>
  <c r="J38" i="20"/>
  <c r="H38" i="20"/>
  <c r="F38" i="20"/>
  <c r="D38" i="20"/>
  <c r="P37" i="20"/>
  <c r="N37" i="20"/>
  <c r="L37" i="20"/>
  <c r="J37" i="20"/>
  <c r="H37" i="20"/>
  <c r="F37" i="20"/>
  <c r="D37" i="20"/>
  <c r="P36" i="20"/>
  <c r="N36" i="20"/>
  <c r="L36" i="20"/>
  <c r="J36" i="20"/>
  <c r="H36" i="20"/>
  <c r="F36" i="20"/>
  <c r="D36" i="20"/>
  <c r="P35" i="20"/>
  <c r="N35" i="20"/>
  <c r="L35" i="20"/>
  <c r="J35" i="20"/>
  <c r="H35" i="20"/>
  <c r="F35" i="20"/>
  <c r="D35" i="20"/>
  <c r="P34" i="20"/>
  <c r="N34" i="20"/>
  <c r="L34" i="20"/>
  <c r="J34" i="20"/>
  <c r="H34" i="20"/>
  <c r="F34" i="20"/>
  <c r="D34" i="20"/>
  <c r="Q33" i="20"/>
  <c r="P33" i="20"/>
  <c r="N33" i="20"/>
  <c r="L33" i="20"/>
  <c r="J33" i="20"/>
  <c r="H33" i="20"/>
  <c r="F33" i="20"/>
  <c r="D33" i="20"/>
  <c r="P32" i="20"/>
  <c r="N32" i="20"/>
  <c r="L32" i="20"/>
  <c r="J32" i="20"/>
  <c r="H32" i="20"/>
  <c r="F32" i="20"/>
  <c r="D32" i="20"/>
  <c r="P31" i="20"/>
  <c r="N31" i="20"/>
  <c r="L31" i="20"/>
  <c r="J31" i="20"/>
  <c r="H31" i="20"/>
  <c r="F31" i="20"/>
  <c r="D31" i="20"/>
  <c r="P30" i="20"/>
  <c r="N30" i="20"/>
  <c r="L30" i="20"/>
  <c r="J30" i="20"/>
  <c r="H30" i="20"/>
  <c r="F30" i="20"/>
  <c r="D30" i="20"/>
  <c r="P29" i="20"/>
  <c r="N29" i="20"/>
  <c r="L29" i="20"/>
  <c r="J29" i="20"/>
  <c r="H29" i="20"/>
  <c r="F29" i="20"/>
  <c r="D29" i="20"/>
  <c r="P28" i="20"/>
  <c r="N28" i="20"/>
  <c r="L28" i="20"/>
  <c r="J28" i="20"/>
  <c r="H28" i="20"/>
  <c r="F28" i="20"/>
  <c r="D28" i="20"/>
  <c r="Q27" i="20"/>
  <c r="P27" i="20"/>
  <c r="N27" i="20"/>
  <c r="L27" i="20"/>
  <c r="J27" i="20"/>
  <c r="H27" i="20"/>
  <c r="F27" i="20"/>
  <c r="D27" i="20"/>
  <c r="P26" i="20"/>
  <c r="N26" i="20"/>
  <c r="L26" i="20"/>
  <c r="J26" i="20"/>
  <c r="H26" i="20"/>
  <c r="F26" i="20"/>
  <c r="D26" i="20"/>
  <c r="P25" i="20"/>
  <c r="N25" i="20"/>
  <c r="L25" i="20"/>
  <c r="J25" i="20"/>
  <c r="H25" i="20"/>
  <c r="F25" i="20"/>
  <c r="D25" i="20"/>
  <c r="P24" i="20"/>
  <c r="N24" i="20"/>
  <c r="L24" i="20"/>
  <c r="J24" i="20"/>
  <c r="H24" i="20"/>
  <c r="F24" i="20"/>
  <c r="D24" i="20"/>
  <c r="P23" i="20"/>
  <c r="N23" i="20"/>
  <c r="L23" i="20"/>
  <c r="J23" i="20"/>
  <c r="H23" i="20"/>
  <c r="F23" i="20"/>
  <c r="D23" i="20"/>
  <c r="P22" i="20"/>
  <c r="N22" i="20"/>
  <c r="J22" i="20"/>
  <c r="H22" i="20"/>
  <c r="F22" i="20"/>
  <c r="D22" i="20"/>
  <c r="P21" i="20"/>
  <c r="N21" i="20"/>
  <c r="L21" i="20"/>
  <c r="J21" i="20"/>
  <c r="H21" i="20"/>
  <c r="F21" i="20"/>
  <c r="D21" i="20"/>
  <c r="P20" i="20"/>
  <c r="N20" i="20"/>
  <c r="L20" i="20"/>
  <c r="J20" i="20"/>
  <c r="H20" i="20"/>
  <c r="F20" i="20"/>
  <c r="D20" i="20"/>
  <c r="P19" i="20"/>
  <c r="N19" i="20"/>
  <c r="L19" i="20"/>
  <c r="J19" i="20"/>
  <c r="H19" i="20"/>
  <c r="F19" i="20"/>
  <c r="D19" i="20"/>
  <c r="P18" i="20"/>
  <c r="N18" i="20"/>
  <c r="L18" i="20"/>
  <c r="J18" i="20"/>
  <c r="H18" i="20"/>
  <c r="F18" i="20"/>
  <c r="D18" i="20"/>
  <c r="P17" i="20"/>
  <c r="N17" i="20"/>
  <c r="L17" i="20"/>
  <c r="J17" i="20"/>
  <c r="H17" i="20"/>
  <c r="F17" i="20"/>
  <c r="D17" i="20"/>
  <c r="P16" i="20"/>
  <c r="N16" i="20"/>
  <c r="L16" i="20"/>
  <c r="J16" i="20"/>
  <c r="F16" i="20"/>
  <c r="D16" i="20"/>
  <c r="P15" i="20"/>
  <c r="N15" i="20"/>
  <c r="L15" i="20"/>
  <c r="J15" i="20"/>
  <c r="H15" i="20"/>
  <c r="F15" i="20"/>
  <c r="D15" i="20"/>
  <c r="P14" i="20"/>
  <c r="N14" i="20"/>
  <c r="L14" i="20"/>
  <c r="J14" i="20"/>
  <c r="H14" i="20"/>
  <c r="F14" i="20"/>
  <c r="D14" i="20"/>
  <c r="P13" i="20"/>
  <c r="N13" i="20"/>
  <c r="L13" i="20"/>
  <c r="J13" i="20"/>
  <c r="H13" i="20"/>
  <c r="F13" i="20"/>
  <c r="D13" i="20"/>
  <c r="P12" i="20"/>
  <c r="N12" i="20"/>
  <c r="L12" i="20"/>
  <c r="J12" i="20"/>
  <c r="H12" i="20"/>
  <c r="F12" i="20"/>
  <c r="D12" i="20"/>
  <c r="P11" i="20"/>
  <c r="N11" i="20"/>
  <c r="L11" i="20"/>
  <c r="J11" i="20"/>
  <c r="H11" i="20"/>
  <c r="F11" i="20"/>
  <c r="D11" i="20"/>
  <c r="P10" i="20"/>
  <c r="N10" i="20"/>
  <c r="L10" i="20"/>
  <c r="J10" i="20"/>
  <c r="H10" i="20"/>
  <c r="F10" i="20"/>
  <c r="D10" i="20"/>
  <c r="P9" i="20"/>
  <c r="N9" i="20"/>
  <c r="L9" i="20"/>
  <c r="J9" i="20"/>
  <c r="H9" i="20"/>
  <c r="F9" i="20"/>
  <c r="D9" i="20"/>
  <c r="P8" i="20"/>
  <c r="N8" i="20"/>
  <c r="L8" i="20"/>
  <c r="J8" i="20"/>
  <c r="H8" i="20"/>
  <c r="F8" i="20"/>
  <c r="D8" i="20"/>
  <c r="P7" i="20"/>
  <c r="N7" i="20"/>
  <c r="L7" i="20"/>
  <c r="J7" i="20"/>
  <c r="H7" i="20"/>
  <c r="F7" i="20"/>
  <c r="D7" i="20"/>
  <c r="P45" i="19"/>
  <c r="P44" i="19"/>
  <c r="P43" i="19"/>
  <c r="N43" i="19"/>
  <c r="L43" i="19"/>
  <c r="J43" i="19"/>
  <c r="H43" i="19"/>
  <c r="F43" i="19"/>
  <c r="D43" i="19"/>
  <c r="P42" i="19"/>
  <c r="N42" i="19"/>
  <c r="L42" i="19"/>
  <c r="J42" i="19"/>
  <c r="H42" i="19"/>
  <c r="F42" i="19"/>
  <c r="D42" i="19"/>
  <c r="P41" i="19"/>
  <c r="N41" i="19"/>
  <c r="L41" i="19"/>
  <c r="J41" i="19"/>
  <c r="H41" i="19"/>
  <c r="F41" i="19"/>
  <c r="D41" i="19"/>
  <c r="P40" i="19"/>
  <c r="N40" i="19"/>
  <c r="L40" i="19"/>
  <c r="J40" i="19"/>
  <c r="H40" i="19"/>
  <c r="F40" i="19"/>
  <c r="D40" i="19"/>
  <c r="P39" i="19"/>
  <c r="N39" i="19"/>
  <c r="L39" i="19"/>
  <c r="J39" i="19"/>
  <c r="H39" i="19"/>
  <c r="F39" i="19"/>
  <c r="D39" i="19"/>
  <c r="P38" i="19"/>
  <c r="N38" i="19"/>
  <c r="L38" i="19"/>
  <c r="J38" i="19"/>
  <c r="H38" i="19"/>
  <c r="F38" i="19"/>
  <c r="D38" i="19"/>
  <c r="P37" i="19"/>
  <c r="N37" i="19"/>
  <c r="L37" i="19"/>
  <c r="J37" i="19"/>
  <c r="H37" i="19"/>
  <c r="F37" i="19"/>
  <c r="D37" i="19"/>
  <c r="P36" i="19"/>
  <c r="N36" i="19"/>
  <c r="L36" i="19"/>
  <c r="J36" i="19"/>
  <c r="H36" i="19"/>
  <c r="F36" i="19"/>
  <c r="D36" i="19"/>
  <c r="P35" i="19"/>
  <c r="N35" i="19"/>
  <c r="L35" i="19"/>
  <c r="J35" i="19"/>
  <c r="H35" i="19"/>
  <c r="F35" i="19"/>
  <c r="D35" i="19"/>
  <c r="P34" i="19"/>
  <c r="N34" i="19"/>
  <c r="L34" i="19"/>
  <c r="J34" i="19"/>
  <c r="H34" i="19"/>
  <c r="F34" i="19"/>
  <c r="D34" i="19"/>
  <c r="P33" i="19"/>
  <c r="N33" i="19"/>
  <c r="L33" i="19"/>
  <c r="J33" i="19"/>
  <c r="H33" i="19"/>
  <c r="F33" i="19"/>
  <c r="D33" i="19"/>
  <c r="P32" i="19"/>
  <c r="N32" i="19"/>
  <c r="L32" i="19"/>
  <c r="J32" i="19"/>
  <c r="H32" i="19"/>
  <c r="F32" i="19"/>
  <c r="D32" i="19"/>
  <c r="P31" i="19"/>
  <c r="N31" i="19"/>
  <c r="L31" i="19"/>
  <c r="J31" i="19"/>
  <c r="H31" i="19"/>
  <c r="F31" i="19"/>
  <c r="D31" i="19"/>
  <c r="P30" i="19"/>
  <c r="N30" i="19"/>
  <c r="L30" i="19"/>
  <c r="J30" i="19"/>
  <c r="H30" i="19"/>
  <c r="F30" i="19"/>
  <c r="D30" i="19"/>
  <c r="P29" i="19"/>
  <c r="N29" i="19"/>
  <c r="L29" i="19"/>
  <c r="J29" i="19"/>
  <c r="H29" i="19"/>
  <c r="F29" i="19"/>
  <c r="D29" i="19"/>
  <c r="P28" i="19"/>
  <c r="N28" i="19"/>
  <c r="L28" i="19"/>
  <c r="J28" i="19"/>
  <c r="H28" i="19"/>
  <c r="F28" i="19"/>
  <c r="D28" i="19"/>
  <c r="P27" i="19"/>
  <c r="N27" i="19"/>
  <c r="L27" i="19"/>
  <c r="J27" i="19"/>
  <c r="H27" i="19"/>
  <c r="F27" i="19"/>
  <c r="D27" i="19"/>
  <c r="P26" i="19"/>
  <c r="N26" i="19"/>
  <c r="L26" i="19"/>
  <c r="J26" i="19"/>
  <c r="H26" i="19"/>
  <c r="F26" i="19"/>
  <c r="D26" i="19"/>
  <c r="P25" i="19"/>
  <c r="N25" i="19"/>
  <c r="L25" i="19"/>
  <c r="J25" i="19"/>
  <c r="H25" i="19"/>
  <c r="F25" i="19"/>
  <c r="D25" i="19"/>
  <c r="P24" i="19"/>
  <c r="N24" i="19"/>
  <c r="L24" i="19"/>
  <c r="J24" i="19"/>
  <c r="H24" i="19"/>
  <c r="F24" i="19"/>
  <c r="D24" i="19"/>
  <c r="P23" i="19"/>
  <c r="N23" i="19"/>
  <c r="L23" i="19"/>
  <c r="J23" i="19"/>
  <c r="H23" i="19"/>
  <c r="F23" i="19"/>
  <c r="D23" i="19"/>
  <c r="P22" i="19"/>
  <c r="N22" i="19"/>
  <c r="L22" i="19"/>
  <c r="J22" i="19"/>
  <c r="H22" i="19"/>
  <c r="F22" i="19"/>
  <c r="D22" i="19"/>
  <c r="P21" i="19"/>
  <c r="N21" i="19"/>
  <c r="L21" i="19"/>
  <c r="J21" i="19"/>
  <c r="H21" i="19"/>
  <c r="F21" i="19"/>
  <c r="D21" i="19"/>
  <c r="P20" i="19"/>
  <c r="N20" i="19"/>
  <c r="L20" i="19"/>
  <c r="J20" i="19"/>
  <c r="H20" i="19"/>
  <c r="F20" i="19"/>
  <c r="D20" i="19"/>
  <c r="P19" i="19"/>
  <c r="N19" i="19"/>
  <c r="L19" i="19"/>
  <c r="J19" i="19"/>
  <c r="H19" i="19"/>
  <c r="F19" i="19"/>
  <c r="D19" i="19"/>
  <c r="P18" i="19"/>
  <c r="N18" i="19"/>
  <c r="L18" i="19"/>
  <c r="J18" i="19"/>
  <c r="H18" i="19"/>
  <c r="F18" i="19"/>
  <c r="D18" i="19"/>
  <c r="P17" i="19"/>
  <c r="N17" i="19"/>
  <c r="L17" i="19"/>
  <c r="J17" i="19"/>
  <c r="H17" i="19"/>
  <c r="F17" i="19"/>
  <c r="D17" i="19"/>
  <c r="P16" i="19"/>
  <c r="N16" i="19"/>
  <c r="L16" i="19"/>
  <c r="J16" i="19"/>
  <c r="H16" i="19"/>
  <c r="F16" i="19"/>
  <c r="D16" i="19"/>
  <c r="P15" i="19"/>
  <c r="N15" i="19"/>
  <c r="L15" i="19"/>
  <c r="J15" i="19"/>
  <c r="H15" i="19"/>
  <c r="F15" i="19"/>
  <c r="D15" i="19"/>
  <c r="P14" i="19"/>
  <c r="N14" i="19"/>
  <c r="L14" i="19"/>
  <c r="J14" i="19"/>
  <c r="H14" i="19"/>
  <c r="F14" i="19"/>
  <c r="D14" i="19"/>
  <c r="P13" i="19"/>
  <c r="N13" i="19"/>
  <c r="L13" i="19"/>
  <c r="J13" i="19"/>
  <c r="H13" i="19"/>
  <c r="F13" i="19"/>
  <c r="D13" i="19"/>
  <c r="P12" i="19"/>
  <c r="N12" i="19"/>
  <c r="L12" i="19"/>
  <c r="J12" i="19"/>
  <c r="H12" i="19"/>
  <c r="F12" i="19"/>
  <c r="D12" i="19"/>
  <c r="P11" i="19"/>
  <c r="N11" i="19"/>
  <c r="L11" i="19"/>
  <c r="J11" i="19"/>
  <c r="H11" i="19"/>
  <c r="F11" i="19"/>
  <c r="D11" i="19"/>
  <c r="P10" i="19"/>
  <c r="N10" i="19"/>
  <c r="L10" i="19"/>
  <c r="J10" i="19"/>
  <c r="H10" i="19"/>
  <c r="F10" i="19"/>
  <c r="D10" i="19"/>
  <c r="P9" i="19"/>
  <c r="N9" i="19"/>
  <c r="L9" i="19"/>
  <c r="J9" i="19"/>
  <c r="H9" i="19"/>
  <c r="F9" i="19"/>
  <c r="D9" i="19"/>
  <c r="P8" i="19"/>
  <c r="N8" i="19"/>
  <c r="L8" i="19"/>
  <c r="J8" i="19"/>
  <c r="H8" i="19"/>
  <c r="F8" i="19"/>
  <c r="D8" i="19"/>
  <c r="P7" i="19"/>
  <c r="N7" i="19"/>
  <c r="L7" i="19"/>
  <c r="J7" i="19"/>
  <c r="H7" i="19"/>
  <c r="F7" i="19"/>
  <c r="D7" i="19"/>
  <c r="P51" i="18"/>
  <c r="L51" i="18"/>
  <c r="J51" i="18"/>
  <c r="H51" i="18"/>
  <c r="P50" i="18"/>
  <c r="L50" i="18"/>
  <c r="J50" i="18"/>
  <c r="H50" i="18"/>
  <c r="P38" i="18"/>
  <c r="L38" i="18"/>
  <c r="J38" i="18"/>
  <c r="H38" i="18"/>
  <c r="P37" i="18"/>
  <c r="L37" i="18"/>
  <c r="J37" i="18"/>
  <c r="H37" i="18"/>
  <c r="P36" i="18"/>
  <c r="L36" i="18"/>
  <c r="J36" i="18"/>
  <c r="H36" i="18"/>
  <c r="P35" i="18"/>
  <c r="L35" i="18"/>
  <c r="J35" i="18"/>
  <c r="H35" i="18"/>
  <c r="P34" i="18"/>
  <c r="L34" i="18"/>
  <c r="J34" i="18"/>
  <c r="H34" i="18"/>
  <c r="P33" i="18"/>
  <c r="L33" i="18"/>
  <c r="J33" i="18"/>
  <c r="H33" i="18"/>
  <c r="D33" i="18"/>
  <c r="P32" i="18"/>
  <c r="N32" i="18"/>
  <c r="L32" i="18"/>
  <c r="J32" i="18"/>
  <c r="H32" i="18"/>
  <c r="F32" i="18"/>
  <c r="D32" i="18"/>
  <c r="P31" i="18"/>
  <c r="N31" i="18"/>
  <c r="L31" i="18"/>
  <c r="J31" i="18"/>
  <c r="H31" i="18"/>
  <c r="F31" i="18"/>
  <c r="D31" i="18"/>
  <c r="P30" i="18"/>
  <c r="N30" i="18"/>
  <c r="L30" i="18"/>
  <c r="J30" i="18"/>
  <c r="H30" i="18"/>
  <c r="F30" i="18"/>
  <c r="D30" i="18"/>
  <c r="P29" i="18"/>
  <c r="N29" i="18"/>
  <c r="L29" i="18"/>
  <c r="J29" i="18"/>
  <c r="H29" i="18"/>
  <c r="F29" i="18"/>
  <c r="D29" i="18"/>
  <c r="P28" i="18"/>
  <c r="N28" i="18"/>
  <c r="L28" i="18"/>
  <c r="J28" i="18"/>
  <c r="H28" i="18"/>
  <c r="F28" i="18"/>
  <c r="D28" i="18"/>
  <c r="P27" i="18"/>
  <c r="N27" i="18"/>
  <c r="L27" i="18"/>
  <c r="J27" i="18"/>
  <c r="H27" i="18"/>
  <c r="F27" i="18"/>
  <c r="D27" i="18"/>
  <c r="P26" i="18"/>
  <c r="N26" i="18"/>
  <c r="L26" i="18"/>
  <c r="J26" i="18"/>
  <c r="H26" i="18"/>
  <c r="F26" i="18"/>
  <c r="D26" i="18"/>
  <c r="P25" i="18"/>
  <c r="N25" i="18"/>
  <c r="L25" i="18"/>
  <c r="J25" i="18"/>
  <c r="H25" i="18"/>
  <c r="F25" i="18"/>
  <c r="D25" i="18"/>
  <c r="P24" i="18"/>
  <c r="N24" i="18"/>
  <c r="L24" i="18"/>
  <c r="J24" i="18"/>
  <c r="H24" i="18"/>
  <c r="F24" i="18"/>
  <c r="D24" i="18"/>
  <c r="P23" i="18"/>
  <c r="N23" i="18"/>
  <c r="L23" i="18"/>
  <c r="J23" i="18"/>
  <c r="H23" i="18"/>
  <c r="F23" i="18"/>
  <c r="D23" i="18"/>
  <c r="P22" i="18"/>
  <c r="N22" i="18"/>
  <c r="L22" i="18"/>
  <c r="J22" i="18"/>
  <c r="H22" i="18"/>
  <c r="F22" i="18"/>
  <c r="D22" i="18"/>
  <c r="P21" i="18"/>
  <c r="N21" i="18"/>
  <c r="L21" i="18"/>
  <c r="J21" i="18"/>
  <c r="H21" i="18"/>
  <c r="F21" i="18"/>
  <c r="D21" i="18"/>
  <c r="P20" i="18"/>
  <c r="N20" i="18"/>
  <c r="L20" i="18"/>
  <c r="J20" i="18"/>
  <c r="H20" i="18"/>
  <c r="F20" i="18"/>
  <c r="D20" i="18"/>
  <c r="Q19" i="18"/>
  <c r="P19" i="18"/>
  <c r="N19" i="18"/>
  <c r="L19" i="18"/>
  <c r="J19" i="18"/>
  <c r="H19" i="18"/>
  <c r="F19" i="18"/>
  <c r="D19" i="18"/>
  <c r="Q18" i="18"/>
  <c r="P18" i="18"/>
  <c r="N18" i="18"/>
  <c r="L18" i="18"/>
  <c r="J18" i="18"/>
  <c r="H18" i="18"/>
  <c r="F18" i="18"/>
  <c r="D18" i="18"/>
  <c r="P17" i="18"/>
  <c r="N17" i="18"/>
  <c r="L17" i="18"/>
  <c r="J17" i="18"/>
  <c r="H17" i="18"/>
  <c r="F17" i="18"/>
  <c r="D17" i="18"/>
  <c r="P16" i="18"/>
  <c r="N16" i="18"/>
  <c r="L16" i="18"/>
  <c r="J16" i="18"/>
  <c r="H16" i="18"/>
  <c r="F16" i="18"/>
  <c r="D16" i="18"/>
  <c r="P15" i="18"/>
  <c r="N15" i="18"/>
  <c r="L15" i="18"/>
  <c r="J15" i="18"/>
  <c r="H15" i="18"/>
  <c r="F15" i="18"/>
  <c r="D15" i="18"/>
  <c r="P14" i="18"/>
  <c r="N14" i="18"/>
  <c r="L14" i="18"/>
  <c r="J14" i="18"/>
  <c r="H14" i="18"/>
  <c r="F14" i="18"/>
  <c r="D14" i="18"/>
  <c r="P13" i="18"/>
  <c r="N13" i="18"/>
  <c r="L13" i="18"/>
  <c r="J13" i="18"/>
  <c r="H13" i="18"/>
  <c r="F13" i="18"/>
  <c r="D13" i="18"/>
  <c r="P12" i="18"/>
  <c r="N12" i="18"/>
  <c r="L12" i="18"/>
  <c r="J12" i="18"/>
  <c r="H12" i="18"/>
  <c r="F12" i="18"/>
  <c r="D12" i="18"/>
  <c r="P11" i="18"/>
  <c r="N11" i="18"/>
  <c r="L11" i="18"/>
  <c r="J11" i="18"/>
  <c r="H11" i="18"/>
  <c r="F11" i="18"/>
  <c r="D11" i="18"/>
  <c r="P10" i="18"/>
  <c r="N10" i="18"/>
  <c r="L10" i="18"/>
  <c r="J10" i="18"/>
  <c r="H10" i="18"/>
  <c r="F10" i="18"/>
  <c r="D10" i="18"/>
  <c r="P9" i="18"/>
  <c r="N9" i="18"/>
  <c r="L9" i="18"/>
  <c r="J9" i="18"/>
  <c r="H9" i="18"/>
  <c r="F9" i="18"/>
  <c r="D9" i="18"/>
  <c r="P8" i="18"/>
  <c r="N8" i="18"/>
  <c r="L8" i="18"/>
  <c r="J8" i="18"/>
  <c r="H8" i="18"/>
  <c r="F8" i="18"/>
  <c r="D8" i="18"/>
  <c r="P7" i="18"/>
  <c r="N7" i="18"/>
  <c r="L7" i="18"/>
  <c r="J7" i="18"/>
  <c r="H7" i="18"/>
  <c r="F7" i="18"/>
  <c r="D7" i="18"/>
  <c r="Q48" i="17"/>
  <c r="O47" i="17"/>
  <c r="M47" i="17"/>
  <c r="K47" i="17"/>
  <c r="I47" i="17"/>
  <c r="G47" i="17"/>
  <c r="E47" i="17"/>
  <c r="C47" i="17"/>
  <c r="J45" i="17"/>
  <c r="H45" i="17"/>
  <c r="P44" i="17"/>
  <c r="N44" i="17"/>
  <c r="L44" i="17"/>
  <c r="J44" i="17"/>
  <c r="H44" i="17"/>
  <c r="F44" i="17"/>
  <c r="D44" i="17"/>
  <c r="P43" i="17"/>
  <c r="N43" i="17"/>
  <c r="L43" i="17"/>
  <c r="J43" i="17"/>
  <c r="H43" i="17"/>
  <c r="F43" i="17"/>
  <c r="D43" i="17"/>
  <c r="P42" i="17"/>
  <c r="N42" i="17"/>
  <c r="L42" i="17"/>
  <c r="J42" i="17"/>
  <c r="H42" i="17"/>
  <c r="F42" i="17"/>
  <c r="D42" i="17"/>
  <c r="P41" i="17"/>
  <c r="N41" i="17"/>
  <c r="L41" i="17"/>
  <c r="J41" i="17"/>
  <c r="H41" i="17"/>
  <c r="F41" i="17"/>
  <c r="D41" i="17"/>
  <c r="P40" i="17"/>
  <c r="N40" i="17"/>
  <c r="L40" i="17"/>
  <c r="J40" i="17"/>
  <c r="H40" i="17"/>
  <c r="F40" i="17"/>
  <c r="D40" i="17"/>
  <c r="P39" i="17"/>
  <c r="N39" i="17"/>
  <c r="L39" i="17"/>
  <c r="J39" i="17"/>
  <c r="H39" i="17"/>
  <c r="F39" i="17"/>
  <c r="D39" i="17"/>
  <c r="P38" i="17"/>
  <c r="N38" i="17"/>
  <c r="L38" i="17"/>
  <c r="J38" i="17"/>
  <c r="H38" i="17"/>
  <c r="F38" i="17"/>
  <c r="D38" i="17"/>
  <c r="P37" i="17"/>
  <c r="N37" i="17"/>
  <c r="L37" i="17"/>
  <c r="J37" i="17"/>
  <c r="H37" i="17"/>
  <c r="F37" i="17"/>
  <c r="D37" i="17"/>
  <c r="P36" i="17"/>
  <c r="N36" i="17"/>
  <c r="L36" i="17"/>
  <c r="J36" i="17"/>
  <c r="H36" i="17"/>
  <c r="F36" i="17"/>
  <c r="D36" i="17"/>
  <c r="P35" i="17"/>
  <c r="N35" i="17"/>
  <c r="L35" i="17"/>
  <c r="J35" i="17"/>
  <c r="H35" i="17"/>
  <c r="F35" i="17"/>
  <c r="D35" i="17"/>
  <c r="P34" i="17"/>
  <c r="N34" i="17"/>
  <c r="L34" i="17"/>
  <c r="J34" i="17"/>
  <c r="H34" i="17"/>
  <c r="F34" i="17"/>
  <c r="D34" i="17"/>
  <c r="P33" i="17"/>
  <c r="N33" i="17"/>
  <c r="L33" i="17"/>
  <c r="J33" i="17"/>
  <c r="H33" i="17"/>
  <c r="F33" i="17"/>
  <c r="D33" i="17"/>
  <c r="P32" i="17"/>
  <c r="N32" i="17"/>
  <c r="L32" i="17"/>
  <c r="J32" i="17"/>
  <c r="H32" i="17"/>
  <c r="F32" i="17"/>
  <c r="D32" i="17"/>
  <c r="P31" i="17"/>
  <c r="N31" i="17"/>
  <c r="L31" i="17"/>
  <c r="J31" i="17"/>
  <c r="H31" i="17"/>
  <c r="F31" i="17"/>
  <c r="D31" i="17"/>
  <c r="P30" i="17"/>
  <c r="N30" i="17"/>
  <c r="L30" i="17"/>
  <c r="J30" i="17"/>
  <c r="H30" i="17"/>
  <c r="F30" i="17"/>
  <c r="D30" i="17"/>
  <c r="P29" i="17"/>
  <c r="N29" i="17"/>
  <c r="L29" i="17"/>
  <c r="J29" i="17"/>
  <c r="H29" i="17"/>
  <c r="F29" i="17"/>
  <c r="D29" i="17"/>
  <c r="P28" i="17"/>
  <c r="N28" i="17"/>
  <c r="L28" i="17"/>
  <c r="J28" i="17"/>
  <c r="H28" i="17"/>
  <c r="F28" i="17"/>
  <c r="D28" i="17"/>
  <c r="P27" i="17"/>
  <c r="N27" i="17"/>
  <c r="L27" i="17"/>
  <c r="J27" i="17"/>
  <c r="H27" i="17"/>
  <c r="F27" i="17"/>
  <c r="D27" i="17"/>
  <c r="P26" i="17"/>
  <c r="N26" i="17"/>
  <c r="L26" i="17"/>
  <c r="J26" i="17"/>
  <c r="H26" i="17"/>
  <c r="F26" i="17"/>
  <c r="D26" i="17"/>
  <c r="P25" i="17"/>
  <c r="N25" i="17"/>
  <c r="L25" i="17"/>
  <c r="J25" i="17"/>
  <c r="H25" i="17"/>
  <c r="F25" i="17"/>
  <c r="D25" i="17"/>
  <c r="P24" i="17"/>
  <c r="N24" i="17"/>
  <c r="L24" i="17"/>
  <c r="J24" i="17"/>
  <c r="H24" i="17"/>
  <c r="F24" i="17"/>
  <c r="D24" i="17"/>
  <c r="P23" i="17"/>
  <c r="N23" i="17"/>
  <c r="L23" i="17"/>
  <c r="J23" i="17"/>
  <c r="H23" i="17"/>
  <c r="F23" i="17"/>
  <c r="D23" i="17"/>
  <c r="P22" i="17"/>
  <c r="N22" i="17"/>
  <c r="L22" i="17"/>
  <c r="J22" i="17"/>
  <c r="H22" i="17"/>
  <c r="F22" i="17"/>
  <c r="D22" i="17"/>
  <c r="P21" i="17"/>
  <c r="N21" i="17"/>
  <c r="L21" i="17"/>
  <c r="J21" i="17"/>
  <c r="H21" i="17"/>
  <c r="F21" i="17"/>
  <c r="D21" i="17"/>
  <c r="P20" i="17"/>
  <c r="N20" i="17"/>
  <c r="L20" i="17"/>
  <c r="J20" i="17"/>
  <c r="H20" i="17"/>
  <c r="F20" i="17"/>
  <c r="D20" i="17"/>
  <c r="P19" i="17"/>
  <c r="N19" i="17"/>
  <c r="L19" i="17"/>
  <c r="J19" i="17"/>
  <c r="H19" i="17"/>
  <c r="F19" i="17"/>
  <c r="D19" i="17"/>
  <c r="P18" i="17"/>
  <c r="N18" i="17"/>
  <c r="L18" i="17"/>
  <c r="J18" i="17"/>
  <c r="H18" i="17"/>
  <c r="F18" i="17"/>
  <c r="D18" i="17"/>
  <c r="P17" i="17"/>
  <c r="N17" i="17"/>
  <c r="L17" i="17"/>
  <c r="J17" i="17"/>
  <c r="H17" i="17"/>
  <c r="F17" i="17"/>
  <c r="D17" i="17"/>
  <c r="P16" i="17"/>
  <c r="N16" i="17"/>
  <c r="L16" i="17"/>
  <c r="J16" i="17"/>
  <c r="H16" i="17"/>
  <c r="F16" i="17"/>
  <c r="D16" i="17"/>
  <c r="P15" i="17"/>
  <c r="N15" i="17"/>
  <c r="L15" i="17"/>
  <c r="J15" i="17"/>
  <c r="H15" i="17"/>
  <c r="F15" i="17"/>
  <c r="D15" i="17"/>
  <c r="P14" i="17"/>
  <c r="N14" i="17"/>
  <c r="L14" i="17"/>
  <c r="J14" i="17"/>
  <c r="H14" i="17"/>
  <c r="F14" i="17"/>
  <c r="D14" i="17"/>
  <c r="P13" i="17"/>
  <c r="N13" i="17"/>
  <c r="L13" i="17"/>
  <c r="J13" i="17"/>
  <c r="H13" i="17"/>
  <c r="F13" i="17"/>
  <c r="D13" i="17"/>
  <c r="P12" i="17"/>
  <c r="N12" i="17"/>
  <c r="L12" i="17"/>
  <c r="J12" i="17"/>
  <c r="H12" i="17"/>
  <c r="F12" i="17"/>
  <c r="D12" i="17"/>
  <c r="P11" i="17"/>
  <c r="N11" i="17"/>
  <c r="L11" i="17"/>
  <c r="J11" i="17"/>
  <c r="H11" i="17"/>
  <c r="D11" i="17"/>
  <c r="P10" i="17"/>
  <c r="N10" i="17"/>
  <c r="L10" i="17"/>
  <c r="J10" i="17"/>
  <c r="H10" i="17"/>
  <c r="F10" i="17"/>
  <c r="D10" i="17"/>
  <c r="P9" i="17"/>
  <c r="N9" i="17"/>
  <c r="L9" i="17"/>
  <c r="J9" i="17"/>
  <c r="H9" i="17"/>
  <c r="F9" i="17"/>
  <c r="D9" i="17"/>
  <c r="Q62" i="15"/>
  <c r="Q60" i="15"/>
  <c r="O59" i="15"/>
  <c r="M59" i="15"/>
  <c r="K59" i="15"/>
  <c r="I59" i="15"/>
  <c r="G59" i="15"/>
  <c r="E59" i="15"/>
  <c r="C59" i="15"/>
  <c r="L58" i="15"/>
  <c r="L57" i="15"/>
  <c r="L56" i="15"/>
  <c r="L55" i="15"/>
  <c r="L54" i="15"/>
  <c r="L53" i="15"/>
  <c r="L52" i="15"/>
  <c r="L51" i="15"/>
  <c r="L50" i="15"/>
  <c r="L49" i="15"/>
  <c r="L48" i="15"/>
  <c r="L47" i="15"/>
  <c r="L46" i="15"/>
  <c r="P45" i="15"/>
  <c r="N45" i="15"/>
  <c r="L45" i="15"/>
  <c r="J45" i="15"/>
  <c r="H45" i="15"/>
  <c r="F45" i="15"/>
  <c r="D45" i="15"/>
  <c r="P44" i="15"/>
  <c r="N44" i="15"/>
  <c r="L44" i="15"/>
  <c r="J44" i="15"/>
  <c r="H44" i="15"/>
  <c r="F44" i="15"/>
  <c r="D44" i="15"/>
  <c r="P43" i="15"/>
  <c r="N43" i="15"/>
  <c r="L43" i="15"/>
  <c r="J43" i="15"/>
  <c r="H43" i="15"/>
  <c r="F43" i="15"/>
  <c r="D43" i="15"/>
  <c r="P42" i="15"/>
  <c r="N42" i="15"/>
  <c r="L42" i="15"/>
  <c r="J42" i="15"/>
  <c r="H42" i="15"/>
  <c r="F42" i="15"/>
  <c r="D42" i="15"/>
  <c r="P41" i="15"/>
  <c r="N41" i="15"/>
  <c r="L41" i="15"/>
  <c r="J41" i="15"/>
  <c r="H41" i="15"/>
  <c r="F41" i="15"/>
  <c r="D41" i="15"/>
  <c r="P40" i="15"/>
  <c r="N40" i="15"/>
  <c r="L40" i="15"/>
  <c r="J40" i="15"/>
  <c r="H40" i="15"/>
  <c r="F40" i="15"/>
  <c r="D40" i="15"/>
  <c r="P39" i="15"/>
  <c r="N39" i="15"/>
  <c r="L39" i="15"/>
  <c r="J39" i="15"/>
  <c r="H39" i="15"/>
  <c r="F39" i="15"/>
  <c r="D39" i="15"/>
  <c r="P38" i="15"/>
  <c r="N38" i="15"/>
  <c r="L38" i="15"/>
  <c r="J38" i="15"/>
  <c r="H38" i="15"/>
  <c r="F38" i="15"/>
  <c r="D38" i="15"/>
  <c r="P37" i="15"/>
  <c r="N37" i="15"/>
  <c r="L37" i="15"/>
  <c r="J37" i="15"/>
  <c r="H37" i="15"/>
  <c r="F37" i="15"/>
  <c r="D37" i="15"/>
  <c r="P36" i="15"/>
  <c r="N36" i="15"/>
  <c r="L36" i="15"/>
  <c r="J36" i="15"/>
  <c r="H36" i="15"/>
  <c r="F36" i="15"/>
  <c r="D36" i="15"/>
  <c r="P35" i="15"/>
  <c r="N35" i="15"/>
  <c r="L35" i="15"/>
  <c r="J35" i="15"/>
  <c r="H35" i="15"/>
  <c r="F35" i="15"/>
  <c r="D35" i="15"/>
  <c r="P34" i="15"/>
  <c r="N34" i="15"/>
  <c r="L34" i="15"/>
  <c r="J34" i="15"/>
  <c r="H34" i="15"/>
  <c r="F34" i="15"/>
  <c r="D34" i="15"/>
  <c r="P33" i="15"/>
  <c r="N33" i="15"/>
  <c r="L33" i="15"/>
  <c r="J33" i="15"/>
  <c r="H33" i="15"/>
  <c r="F33" i="15"/>
  <c r="D33" i="15"/>
  <c r="P32" i="15"/>
  <c r="N32" i="15"/>
  <c r="L32" i="15"/>
  <c r="J32" i="15"/>
  <c r="H32" i="15"/>
  <c r="F32" i="15"/>
  <c r="D32" i="15"/>
  <c r="P31" i="15"/>
  <c r="N31" i="15"/>
  <c r="L31" i="15"/>
  <c r="J31" i="15"/>
  <c r="H31" i="15"/>
  <c r="F31" i="15"/>
  <c r="D31" i="15"/>
  <c r="P30" i="15"/>
  <c r="N30" i="15"/>
  <c r="L30" i="15"/>
  <c r="J30" i="15"/>
  <c r="H30" i="15"/>
  <c r="F30" i="15"/>
  <c r="D30" i="15"/>
  <c r="P29" i="15"/>
  <c r="N29" i="15"/>
  <c r="L29" i="15"/>
  <c r="J29" i="15"/>
  <c r="H29" i="15"/>
  <c r="F29" i="15"/>
  <c r="D29" i="15"/>
  <c r="P28" i="15"/>
  <c r="N28" i="15"/>
  <c r="L28" i="15"/>
  <c r="J28" i="15"/>
  <c r="H28" i="15"/>
  <c r="F28" i="15"/>
  <c r="D28" i="15"/>
  <c r="P27" i="15"/>
  <c r="N27" i="15"/>
  <c r="L27" i="15"/>
  <c r="J27" i="15"/>
  <c r="H27" i="15"/>
  <c r="F27" i="15"/>
  <c r="D27" i="15"/>
  <c r="P26" i="15"/>
  <c r="N26" i="15"/>
  <c r="L26" i="15"/>
  <c r="J26" i="15"/>
  <c r="H26" i="15"/>
  <c r="F26" i="15"/>
  <c r="D26" i="15"/>
  <c r="P25" i="15"/>
  <c r="N25" i="15"/>
  <c r="L25" i="15"/>
  <c r="J25" i="15"/>
  <c r="H25" i="15"/>
  <c r="F25" i="15"/>
  <c r="D25" i="15"/>
  <c r="P24" i="15"/>
  <c r="N24" i="15"/>
  <c r="L24" i="15"/>
  <c r="J24" i="15"/>
  <c r="H24" i="15"/>
  <c r="F24" i="15"/>
  <c r="D24" i="15"/>
  <c r="P23" i="15"/>
  <c r="N23" i="15"/>
  <c r="L23" i="15"/>
  <c r="J23" i="15"/>
  <c r="H23" i="15"/>
  <c r="F23" i="15"/>
  <c r="D23" i="15"/>
  <c r="P22" i="15"/>
  <c r="N22" i="15"/>
  <c r="L22" i="15"/>
  <c r="J22" i="15"/>
  <c r="H22" i="15"/>
  <c r="F22" i="15"/>
  <c r="D22" i="15"/>
  <c r="P21" i="15"/>
  <c r="N21" i="15"/>
  <c r="L21" i="15"/>
  <c r="J21" i="15"/>
  <c r="H21" i="15"/>
  <c r="F21" i="15"/>
  <c r="D21" i="15"/>
  <c r="P20" i="15"/>
  <c r="N20" i="15"/>
  <c r="L20" i="15"/>
  <c r="J20" i="15"/>
  <c r="H20" i="15"/>
  <c r="F20" i="15"/>
  <c r="D20" i="15"/>
  <c r="P19" i="15"/>
  <c r="N19" i="15"/>
  <c r="L19" i="15"/>
  <c r="J19" i="15"/>
  <c r="H19" i="15"/>
  <c r="F19" i="15"/>
  <c r="D19" i="15"/>
  <c r="P18" i="15"/>
  <c r="N18" i="15"/>
  <c r="L18" i="15"/>
  <c r="J18" i="15"/>
  <c r="H18" i="15"/>
  <c r="F18" i="15"/>
  <c r="D18" i="15"/>
  <c r="P17" i="15"/>
  <c r="N17" i="15"/>
  <c r="L17" i="15"/>
  <c r="J17" i="15"/>
  <c r="H17" i="15"/>
  <c r="F17" i="15"/>
  <c r="D17" i="15"/>
  <c r="P16" i="15"/>
  <c r="N16" i="15"/>
  <c r="L16" i="15"/>
  <c r="J16" i="15"/>
  <c r="H16" i="15"/>
  <c r="F16" i="15"/>
  <c r="D16" i="15"/>
  <c r="P15" i="15"/>
  <c r="N15" i="15"/>
  <c r="L15" i="15"/>
  <c r="J15" i="15"/>
  <c r="H15" i="15"/>
  <c r="F15" i="15"/>
  <c r="D15" i="15"/>
  <c r="P14" i="15"/>
  <c r="N14" i="15"/>
  <c r="L14" i="15"/>
  <c r="J14" i="15"/>
  <c r="H14" i="15"/>
  <c r="F14" i="15"/>
  <c r="D14" i="15"/>
  <c r="P13" i="15"/>
  <c r="N13" i="15"/>
  <c r="L13" i="15"/>
  <c r="J13" i="15"/>
  <c r="H13" i="15"/>
  <c r="F13" i="15"/>
  <c r="D13" i="15"/>
  <c r="P12" i="15"/>
  <c r="N12" i="15"/>
  <c r="L12" i="15"/>
  <c r="J12" i="15"/>
  <c r="H12" i="15"/>
  <c r="F12" i="15"/>
  <c r="D12" i="15"/>
  <c r="P11" i="15"/>
  <c r="N11" i="15"/>
  <c r="L11" i="15"/>
  <c r="J11" i="15"/>
  <c r="H11" i="15"/>
  <c r="F11" i="15"/>
  <c r="D11" i="15"/>
  <c r="P10" i="15"/>
  <c r="N10" i="15"/>
  <c r="L10" i="15"/>
  <c r="J10" i="15"/>
  <c r="H10" i="15"/>
  <c r="F10" i="15"/>
  <c r="D10" i="15"/>
  <c r="P9" i="15"/>
  <c r="N9" i="15"/>
  <c r="L9" i="15"/>
  <c r="J9" i="15"/>
  <c r="H9" i="15"/>
  <c r="F9" i="15"/>
  <c r="D9" i="15"/>
  <c r="O61" i="14"/>
  <c r="M61" i="14"/>
  <c r="K61" i="14"/>
  <c r="I61" i="14"/>
  <c r="G61" i="14"/>
  <c r="E61" i="14"/>
  <c r="C61" i="14"/>
  <c r="O60" i="14"/>
  <c r="M60" i="14"/>
  <c r="K60" i="14"/>
  <c r="I60" i="14"/>
  <c r="G60" i="14"/>
  <c r="E60" i="14"/>
  <c r="C60" i="14"/>
  <c r="O59" i="14"/>
  <c r="M59" i="14"/>
  <c r="K59" i="14"/>
  <c r="I59" i="14"/>
  <c r="G59" i="14"/>
  <c r="E59" i="14"/>
  <c r="C59" i="14"/>
  <c r="O58" i="14"/>
  <c r="M58" i="14"/>
  <c r="K58" i="14"/>
  <c r="I58" i="14"/>
  <c r="G58" i="14"/>
  <c r="E58" i="14"/>
  <c r="C58" i="14"/>
  <c r="O57" i="14"/>
  <c r="M57" i="14"/>
  <c r="K57" i="14"/>
  <c r="I57" i="14"/>
  <c r="G57" i="14"/>
  <c r="E57" i="14"/>
  <c r="C57" i="14"/>
  <c r="O56" i="14"/>
  <c r="M56" i="14"/>
  <c r="K56" i="14"/>
  <c r="I56" i="14"/>
  <c r="G56" i="14"/>
  <c r="E56" i="14"/>
  <c r="C56" i="14"/>
  <c r="O53" i="14"/>
  <c r="M53" i="14"/>
  <c r="K53" i="14"/>
  <c r="I53" i="14"/>
  <c r="G53" i="14"/>
  <c r="E53" i="14"/>
  <c r="C53" i="14"/>
  <c r="Q52" i="14"/>
  <c r="O52" i="14"/>
  <c r="M52" i="14"/>
  <c r="M51" i="14"/>
  <c r="G51" i="14"/>
  <c r="E51" i="14"/>
  <c r="C51" i="14"/>
  <c r="P44" i="14"/>
  <c r="N44" i="14"/>
  <c r="L44" i="14"/>
  <c r="J44" i="14"/>
  <c r="H44" i="14"/>
  <c r="F44" i="14"/>
  <c r="D44" i="14"/>
  <c r="P43" i="14"/>
  <c r="N43" i="14"/>
  <c r="L43" i="14"/>
  <c r="J43" i="14"/>
  <c r="H43" i="14"/>
  <c r="F43" i="14"/>
  <c r="D43" i="14"/>
  <c r="P42" i="14"/>
  <c r="N42" i="14"/>
  <c r="L42" i="14"/>
  <c r="J42" i="14"/>
  <c r="H42" i="14"/>
  <c r="F42" i="14"/>
  <c r="D42" i="14"/>
  <c r="P41" i="14"/>
  <c r="N41" i="14"/>
  <c r="L41" i="14"/>
  <c r="J41" i="14"/>
  <c r="H41" i="14"/>
  <c r="F41" i="14"/>
  <c r="D41" i="14"/>
  <c r="P40" i="14"/>
  <c r="N40" i="14"/>
  <c r="L40" i="14"/>
  <c r="J40" i="14"/>
  <c r="H40" i="14"/>
  <c r="F40" i="14"/>
  <c r="D40" i="14"/>
  <c r="P39" i="14"/>
  <c r="N39" i="14"/>
  <c r="L39" i="14"/>
  <c r="J39" i="14"/>
  <c r="H39" i="14"/>
  <c r="F39" i="14"/>
  <c r="D39" i="14"/>
  <c r="P38" i="14"/>
  <c r="N38" i="14"/>
  <c r="L38" i="14"/>
  <c r="J38" i="14"/>
  <c r="H38" i="14"/>
  <c r="F38" i="14"/>
  <c r="D38" i="14"/>
  <c r="P37" i="14"/>
  <c r="N37" i="14"/>
  <c r="L37" i="14"/>
  <c r="J37" i="14"/>
  <c r="H37" i="14"/>
  <c r="F37" i="14"/>
  <c r="D37" i="14"/>
  <c r="P36" i="14"/>
  <c r="N36" i="14"/>
  <c r="L36" i="14"/>
  <c r="J36" i="14"/>
  <c r="H36" i="14"/>
  <c r="F36" i="14"/>
  <c r="D36" i="14"/>
  <c r="N35" i="14"/>
  <c r="L35" i="14"/>
  <c r="J35" i="14"/>
  <c r="H35" i="14"/>
  <c r="F35" i="14"/>
  <c r="D35" i="14"/>
  <c r="P34" i="14"/>
  <c r="N34" i="14"/>
  <c r="L34" i="14"/>
  <c r="J34" i="14"/>
  <c r="H34" i="14"/>
  <c r="F34" i="14"/>
  <c r="D34" i="14"/>
  <c r="P33" i="14"/>
  <c r="N33" i="14"/>
  <c r="L33" i="14"/>
  <c r="J33" i="14"/>
  <c r="H33" i="14"/>
  <c r="F33" i="14"/>
  <c r="D33" i="14"/>
  <c r="P32" i="14"/>
  <c r="N32" i="14"/>
  <c r="L32" i="14"/>
  <c r="J32" i="14"/>
  <c r="H32" i="14"/>
  <c r="F32" i="14"/>
  <c r="D32" i="14"/>
  <c r="P31" i="14"/>
  <c r="N31" i="14"/>
  <c r="L31" i="14"/>
  <c r="J31" i="14"/>
  <c r="H31" i="14"/>
  <c r="F31" i="14"/>
  <c r="D31" i="14"/>
  <c r="P30" i="14"/>
  <c r="N30" i="14"/>
  <c r="L30" i="14"/>
  <c r="J30" i="14"/>
  <c r="H30" i="14"/>
  <c r="F30" i="14"/>
  <c r="D30" i="14"/>
  <c r="P29" i="14"/>
  <c r="N29" i="14"/>
  <c r="L29" i="14"/>
  <c r="J29" i="14"/>
  <c r="H29" i="14"/>
  <c r="F29" i="14"/>
  <c r="D29" i="14"/>
  <c r="P28" i="14"/>
  <c r="N28" i="14"/>
  <c r="L28" i="14"/>
  <c r="J28" i="14"/>
  <c r="H28" i="14"/>
  <c r="F28" i="14"/>
  <c r="D28" i="14"/>
  <c r="P27" i="14"/>
  <c r="N27" i="14"/>
  <c r="L27" i="14"/>
  <c r="J27" i="14"/>
  <c r="H27" i="14"/>
  <c r="F27" i="14"/>
  <c r="D27" i="14"/>
  <c r="P26" i="14"/>
  <c r="N26" i="14"/>
  <c r="L26" i="14"/>
  <c r="J26" i="14"/>
  <c r="H26" i="14"/>
  <c r="F26" i="14"/>
  <c r="D26" i="14"/>
  <c r="P25" i="14"/>
  <c r="N25" i="14"/>
  <c r="L25" i="14"/>
  <c r="J25" i="14"/>
  <c r="H25" i="14"/>
  <c r="F25" i="14"/>
  <c r="D25" i="14"/>
  <c r="P24" i="14"/>
  <c r="N24" i="14"/>
  <c r="L24" i="14"/>
  <c r="J24" i="14"/>
  <c r="H24" i="14"/>
  <c r="F24" i="14"/>
  <c r="D24" i="14"/>
  <c r="P23" i="14"/>
  <c r="N23" i="14"/>
  <c r="L23" i="14"/>
  <c r="J23" i="14"/>
  <c r="H23" i="14"/>
  <c r="F23" i="14"/>
  <c r="D23" i="14"/>
  <c r="P22" i="14"/>
  <c r="N22" i="14"/>
  <c r="L22" i="14"/>
  <c r="J22" i="14"/>
  <c r="H22" i="14"/>
  <c r="F22" i="14"/>
  <c r="D22" i="14"/>
  <c r="P21" i="14"/>
  <c r="N21" i="14"/>
  <c r="L21" i="14"/>
  <c r="J21" i="14"/>
  <c r="H21" i="14"/>
  <c r="F21" i="14"/>
  <c r="D21" i="14"/>
  <c r="P20" i="14"/>
  <c r="N20" i="14"/>
  <c r="L20" i="14"/>
  <c r="J20" i="14"/>
  <c r="H20" i="14"/>
  <c r="F20" i="14"/>
  <c r="D20" i="14"/>
  <c r="P19" i="14"/>
  <c r="N19" i="14"/>
  <c r="L19" i="14"/>
  <c r="J19" i="14"/>
  <c r="H19" i="14"/>
  <c r="F19" i="14"/>
  <c r="D19" i="14"/>
  <c r="P18" i="14"/>
  <c r="N18" i="14"/>
  <c r="L18" i="14"/>
  <c r="J18" i="14"/>
  <c r="H18" i="14"/>
  <c r="F18" i="14"/>
  <c r="D18" i="14"/>
  <c r="P17" i="14"/>
  <c r="N17" i="14"/>
  <c r="L17" i="14"/>
  <c r="J17" i="14"/>
  <c r="H17" i="14"/>
  <c r="F17" i="14"/>
  <c r="D17" i="14"/>
  <c r="P16" i="14"/>
  <c r="N16" i="14"/>
  <c r="L16" i="14"/>
  <c r="J16" i="14"/>
  <c r="H16" i="14"/>
  <c r="F16" i="14"/>
  <c r="D16" i="14"/>
  <c r="P15" i="14"/>
  <c r="N15" i="14"/>
  <c r="L15" i="14"/>
  <c r="J15" i="14"/>
  <c r="H15" i="14"/>
  <c r="F15" i="14"/>
  <c r="D15" i="14"/>
  <c r="P14" i="14"/>
  <c r="N14" i="14"/>
  <c r="L14" i="14"/>
  <c r="J14" i="14"/>
  <c r="H14" i="14"/>
  <c r="F14" i="14"/>
  <c r="D14" i="14"/>
  <c r="P13" i="14"/>
  <c r="N13" i="14"/>
  <c r="L13" i="14"/>
  <c r="J13" i="14"/>
  <c r="H13" i="14"/>
  <c r="F13" i="14"/>
  <c r="D13" i="14"/>
  <c r="P12" i="14"/>
  <c r="N12" i="14"/>
  <c r="L12" i="14"/>
  <c r="J12" i="14"/>
  <c r="H12" i="14"/>
  <c r="F12" i="14"/>
  <c r="D12" i="14"/>
  <c r="P11" i="14"/>
  <c r="N11" i="14"/>
  <c r="L11" i="14"/>
  <c r="J11" i="14"/>
  <c r="H11" i="14"/>
  <c r="F11" i="14"/>
  <c r="D11" i="14"/>
  <c r="P10" i="14"/>
  <c r="N10" i="14"/>
  <c r="L10" i="14"/>
  <c r="J10" i="14"/>
  <c r="H10" i="14"/>
  <c r="F10" i="14"/>
  <c r="D10" i="14"/>
  <c r="P9" i="14"/>
  <c r="N9" i="14"/>
  <c r="L9" i="14"/>
  <c r="J9" i="14"/>
  <c r="H9" i="14"/>
  <c r="F9" i="14"/>
  <c r="D9" i="14"/>
  <c r="Q62" i="13"/>
  <c r="Q60" i="13"/>
  <c r="O59" i="13"/>
  <c r="M59" i="13"/>
  <c r="E59" i="13"/>
  <c r="D52" i="13"/>
  <c r="P51" i="13"/>
  <c r="L51" i="13"/>
  <c r="J51" i="13"/>
  <c r="F51" i="13"/>
  <c r="D51" i="13"/>
  <c r="P50" i="13"/>
  <c r="N50" i="13"/>
  <c r="L50" i="13"/>
  <c r="J50" i="13"/>
  <c r="H50" i="13"/>
  <c r="F50" i="13"/>
  <c r="D50" i="13"/>
  <c r="P49" i="13"/>
  <c r="N49" i="13"/>
  <c r="L49" i="13"/>
  <c r="J49" i="13"/>
  <c r="H49" i="13"/>
  <c r="F49" i="13"/>
  <c r="D49" i="13"/>
  <c r="P48" i="13"/>
  <c r="N48" i="13"/>
  <c r="L48" i="13"/>
  <c r="J48" i="13"/>
  <c r="H48" i="13"/>
  <c r="F48" i="13"/>
  <c r="D48" i="13"/>
  <c r="P47" i="13"/>
  <c r="N47" i="13"/>
  <c r="L47" i="13"/>
  <c r="J47" i="13"/>
  <c r="H47" i="13"/>
  <c r="F47" i="13"/>
  <c r="D47" i="13"/>
  <c r="P46" i="13"/>
  <c r="N46" i="13"/>
  <c r="L46" i="13"/>
  <c r="J46" i="13"/>
  <c r="H46" i="13"/>
  <c r="F46" i="13"/>
  <c r="D46" i="13"/>
  <c r="P45" i="13"/>
  <c r="N45" i="13"/>
  <c r="L45" i="13"/>
  <c r="J45" i="13"/>
  <c r="H45" i="13"/>
  <c r="F45" i="13"/>
  <c r="D45" i="13"/>
  <c r="P44" i="13"/>
  <c r="N44" i="13"/>
  <c r="L44" i="13"/>
  <c r="J44" i="13"/>
  <c r="H44" i="13"/>
  <c r="F44" i="13"/>
  <c r="D44" i="13"/>
  <c r="P43" i="13"/>
  <c r="N43" i="13"/>
  <c r="L43" i="13"/>
  <c r="J43" i="13"/>
  <c r="H43" i="13"/>
  <c r="F43" i="13"/>
  <c r="D43" i="13"/>
  <c r="P42" i="13"/>
  <c r="N42" i="13"/>
  <c r="L42" i="13"/>
  <c r="J42" i="13"/>
  <c r="H42" i="13"/>
  <c r="F42" i="13"/>
  <c r="D42" i="13"/>
  <c r="P41" i="13"/>
  <c r="N41" i="13"/>
  <c r="L41" i="13"/>
  <c r="J41" i="13"/>
  <c r="H41" i="13"/>
  <c r="F41" i="13"/>
  <c r="D41" i="13"/>
  <c r="P40" i="13"/>
  <c r="N40" i="13"/>
  <c r="L40" i="13"/>
  <c r="J40" i="13"/>
  <c r="H40" i="13"/>
  <c r="F40" i="13"/>
  <c r="D40" i="13"/>
  <c r="P39" i="13"/>
  <c r="N39" i="13"/>
  <c r="L39" i="13"/>
  <c r="J39" i="13"/>
  <c r="H39" i="13"/>
  <c r="F39" i="13"/>
  <c r="D39" i="13"/>
  <c r="P38" i="13"/>
  <c r="N38" i="13"/>
  <c r="L38" i="13"/>
  <c r="J38" i="13"/>
  <c r="H38" i="13"/>
  <c r="F38" i="13"/>
  <c r="D38" i="13"/>
  <c r="P37" i="13"/>
  <c r="N37" i="13"/>
  <c r="L37" i="13"/>
  <c r="J37" i="13"/>
  <c r="H37" i="13"/>
  <c r="F37" i="13"/>
  <c r="D37" i="13"/>
  <c r="P36" i="13"/>
  <c r="N36" i="13"/>
  <c r="L36" i="13"/>
  <c r="J36" i="13"/>
  <c r="H36" i="13"/>
  <c r="F36" i="13"/>
  <c r="D36" i="13"/>
  <c r="P35" i="13"/>
  <c r="N35" i="13"/>
  <c r="L35" i="13"/>
  <c r="J35" i="13"/>
  <c r="H35" i="13"/>
  <c r="F35" i="13"/>
  <c r="D35" i="13"/>
  <c r="P34" i="13"/>
  <c r="N34" i="13"/>
  <c r="L34" i="13"/>
  <c r="J34" i="13"/>
  <c r="H34" i="13"/>
  <c r="F34" i="13"/>
  <c r="D34" i="13"/>
  <c r="P33" i="13"/>
  <c r="N33" i="13"/>
  <c r="L33" i="13"/>
  <c r="J33" i="13"/>
  <c r="H33" i="13"/>
  <c r="F33" i="13"/>
  <c r="D33" i="13"/>
  <c r="P32" i="13"/>
  <c r="N32" i="13"/>
  <c r="L32" i="13"/>
  <c r="J32" i="13"/>
  <c r="H32" i="13"/>
  <c r="F32" i="13"/>
  <c r="D32" i="13"/>
  <c r="P31" i="13"/>
  <c r="N31" i="13"/>
  <c r="L31" i="13"/>
  <c r="J31" i="13"/>
  <c r="H31" i="13"/>
  <c r="F31" i="13"/>
  <c r="D31" i="13"/>
  <c r="P30" i="13"/>
  <c r="N30" i="13"/>
  <c r="L30" i="13"/>
  <c r="J30" i="13"/>
  <c r="H30" i="13"/>
  <c r="F30" i="13"/>
  <c r="D30" i="13"/>
  <c r="P29" i="13"/>
  <c r="N29" i="13"/>
  <c r="L29" i="13"/>
  <c r="J29" i="13"/>
  <c r="H29" i="13"/>
  <c r="F29" i="13"/>
  <c r="D29" i="13"/>
  <c r="P28" i="13"/>
  <c r="N28" i="13"/>
  <c r="L28" i="13"/>
  <c r="J28" i="13"/>
  <c r="H28" i="13"/>
  <c r="F28" i="13"/>
  <c r="D28" i="13"/>
  <c r="P27" i="13"/>
  <c r="N27" i="13"/>
  <c r="L27" i="13"/>
  <c r="J27" i="13"/>
  <c r="H27" i="13"/>
  <c r="F27" i="13"/>
  <c r="D27" i="13"/>
  <c r="P26" i="13"/>
  <c r="N26" i="13"/>
  <c r="L26" i="13"/>
  <c r="J26" i="13"/>
  <c r="H26" i="13"/>
  <c r="F26" i="13"/>
  <c r="D26" i="13"/>
  <c r="P25" i="13"/>
  <c r="N25" i="13"/>
  <c r="L25" i="13"/>
  <c r="J25" i="13"/>
  <c r="H25" i="13"/>
  <c r="F25" i="13"/>
  <c r="D25" i="13"/>
  <c r="P24" i="13"/>
  <c r="N24" i="13"/>
  <c r="L24" i="13"/>
  <c r="J24" i="13"/>
  <c r="H24" i="13"/>
  <c r="F24" i="13"/>
  <c r="D24" i="13"/>
  <c r="P23" i="13"/>
  <c r="N23" i="13"/>
  <c r="L23" i="13"/>
  <c r="J23" i="13"/>
  <c r="H23" i="13"/>
  <c r="F23" i="13"/>
  <c r="D23" i="13"/>
  <c r="P22" i="13"/>
  <c r="N22" i="13"/>
  <c r="L22" i="13"/>
  <c r="J22" i="13"/>
  <c r="H22" i="13"/>
  <c r="F22" i="13"/>
  <c r="D22" i="13"/>
  <c r="P21" i="13"/>
  <c r="N21" i="13"/>
  <c r="L21" i="13"/>
  <c r="J21" i="13"/>
  <c r="H21" i="13"/>
  <c r="F21" i="13"/>
  <c r="D21" i="13"/>
  <c r="P20" i="13"/>
  <c r="N20" i="13"/>
  <c r="L20" i="13"/>
  <c r="J20" i="13"/>
  <c r="H20" i="13"/>
  <c r="F20" i="13"/>
  <c r="P19" i="13"/>
  <c r="N19" i="13"/>
  <c r="L19" i="13"/>
  <c r="J19" i="13"/>
  <c r="H19" i="13"/>
  <c r="F19" i="13"/>
  <c r="D19" i="13"/>
  <c r="P18" i="13"/>
  <c r="N18" i="13"/>
  <c r="L18" i="13"/>
  <c r="J18" i="13"/>
  <c r="H18" i="13"/>
  <c r="F18" i="13"/>
  <c r="D18" i="13"/>
  <c r="P17" i="13"/>
  <c r="N17" i="13"/>
  <c r="L17" i="13"/>
  <c r="J17" i="13"/>
  <c r="H17" i="13"/>
  <c r="F17" i="13"/>
  <c r="D17" i="13"/>
  <c r="P16" i="13"/>
  <c r="N16" i="13"/>
  <c r="L16" i="13"/>
  <c r="J16" i="13"/>
  <c r="H16" i="13"/>
  <c r="F16" i="13"/>
  <c r="D16" i="13"/>
  <c r="P15" i="13"/>
  <c r="N15" i="13"/>
  <c r="L15" i="13"/>
  <c r="J15" i="13"/>
  <c r="H15" i="13"/>
  <c r="F15" i="13"/>
  <c r="D15" i="13"/>
  <c r="P14" i="13"/>
  <c r="N14" i="13"/>
  <c r="L14" i="13"/>
  <c r="J14" i="13"/>
  <c r="H14" i="13"/>
  <c r="F14" i="13"/>
  <c r="D14" i="13"/>
  <c r="P13" i="13"/>
  <c r="N13" i="13"/>
  <c r="L13" i="13"/>
  <c r="J13" i="13"/>
  <c r="H13" i="13"/>
  <c r="F13" i="13"/>
  <c r="D13" i="13"/>
  <c r="P12" i="13"/>
  <c r="N12" i="13"/>
  <c r="L12" i="13"/>
  <c r="J12" i="13"/>
  <c r="H12" i="13"/>
  <c r="F12" i="13"/>
  <c r="D12" i="13"/>
  <c r="P11" i="13"/>
  <c r="N11" i="13"/>
  <c r="L11" i="13"/>
  <c r="J11" i="13"/>
  <c r="H11" i="13"/>
  <c r="F11" i="13"/>
  <c r="D11" i="13"/>
  <c r="P10" i="13"/>
  <c r="N10" i="13"/>
  <c r="L10" i="13"/>
  <c r="J10" i="13"/>
  <c r="H10" i="13"/>
  <c r="F10" i="13"/>
  <c r="D10" i="13"/>
  <c r="P9" i="13"/>
  <c r="N9" i="13"/>
  <c r="L9" i="13"/>
  <c r="J9" i="13"/>
  <c r="H9" i="13"/>
  <c r="F9" i="13"/>
  <c r="D9" i="13"/>
  <c r="Q60" i="12"/>
  <c r="Q58" i="12"/>
  <c r="O57" i="12"/>
  <c r="M57" i="12"/>
  <c r="K57" i="12"/>
  <c r="I57" i="12"/>
  <c r="G57" i="12"/>
  <c r="E57" i="12"/>
  <c r="C57" i="12"/>
  <c r="R56" i="12"/>
  <c r="P55" i="12"/>
  <c r="N55" i="12"/>
  <c r="L55" i="12"/>
  <c r="J55" i="12"/>
  <c r="H55" i="12"/>
  <c r="F55" i="12"/>
  <c r="D55" i="12"/>
  <c r="P54" i="12"/>
  <c r="N54" i="12"/>
  <c r="L54" i="12"/>
  <c r="J54" i="12"/>
  <c r="H54" i="12"/>
  <c r="F54" i="12"/>
  <c r="D54" i="12"/>
  <c r="P53" i="12"/>
  <c r="N53" i="12"/>
  <c r="L53" i="12"/>
  <c r="J53" i="12"/>
  <c r="H53" i="12"/>
  <c r="F53" i="12"/>
  <c r="D53" i="12"/>
  <c r="P52" i="12"/>
  <c r="N52" i="12"/>
  <c r="L52" i="12"/>
  <c r="J52" i="12"/>
  <c r="H52" i="12"/>
  <c r="F52" i="12"/>
  <c r="D52" i="12"/>
  <c r="P51" i="12"/>
  <c r="N51" i="12"/>
  <c r="L51" i="12"/>
  <c r="J51" i="12"/>
  <c r="H51" i="12"/>
  <c r="F51" i="12"/>
  <c r="D51" i="12"/>
  <c r="P50" i="12"/>
  <c r="N50" i="12"/>
  <c r="L50" i="12"/>
  <c r="J50" i="12"/>
  <c r="H50" i="12"/>
  <c r="F50" i="12"/>
  <c r="D50" i="12"/>
  <c r="P49" i="12"/>
  <c r="N49" i="12"/>
  <c r="L49" i="12"/>
  <c r="J49" i="12"/>
  <c r="H49" i="12"/>
  <c r="F49" i="12"/>
  <c r="D49" i="12"/>
  <c r="P48" i="12"/>
  <c r="N48" i="12"/>
  <c r="L48" i="12"/>
  <c r="J48" i="12"/>
  <c r="H48" i="12"/>
  <c r="F48" i="12"/>
  <c r="D48" i="12"/>
  <c r="P47" i="12"/>
  <c r="N47" i="12"/>
  <c r="L47" i="12"/>
  <c r="J47" i="12"/>
  <c r="H47" i="12"/>
  <c r="F47" i="12"/>
  <c r="D47" i="12"/>
  <c r="P46" i="12"/>
  <c r="N46" i="12"/>
  <c r="L46" i="12"/>
  <c r="J46" i="12"/>
  <c r="H46" i="12"/>
  <c r="F46" i="12"/>
  <c r="D46" i="12"/>
  <c r="P45" i="12"/>
  <c r="N45" i="12"/>
  <c r="L45" i="12"/>
  <c r="J45" i="12"/>
  <c r="H45" i="12"/>
  <c r="F45" i="12"/>
  <c r="D45" i="12"/>
  <c r="P44" i="12"/>
  <c r="N44" i="12"/>
  <c r="L44" i="12"/>
  <c r="J44" i="12"/>
  <c r="H44" i="12"/>
  <c r="F44" i="12"/>
  <c r="D44" i="12"/>
  <c r="P43" i="12"/>
  <c r="N43" i="12"/>
  <c r="L43" i="12"/>
  <c r="J43" i="12"/>
  <c r="H43" i="12"/>
  <c r="F43" i="12"/>
  <c r="D43" i="12"/>
  <c r="P42" i="12"/>
  <c r="N42" i="12"/>
  <c r="L42" i="12"/>
  <c r="J42" i="12"/>
  <c r="H42" i="12"/>
  <c r="F42" i="12"/>
  <c r="D42" i="12"/>
  <c r="P41" i="12"/>
  <c r="N41" i="12"/>
  <c r="L41" i="12"/>
  <c r="J41" i="12"/>
  <c r="H41" i="12"/>
  <c r="F41" i="12"/>
  <c r="D41" i="12"/>
  <c r="P40" i="12"/>
  <c r="N40" i="12"/>
  <c r="L40" i="12"/>
  <c r="J40" i="12"/>
  <c r="H40" i="12"/>
  <c r="F40" i="12"/>
  <c r="D40" i="12"/>
  <c r="P39" i="12"/>
  <c r="N39" i="12"/>
  <c r="L39" i="12"/>
  <c r="J39" i="12"/>
  <c r="H39" i="12"/>
  <c r="F39" i="12"/>
  <c r="D39" i="12"/>
  <c r="P38" i="12"/>
  <c r="N38" i="12"/>
  <c r="L38" i="12"/>
  <c r="J38" i="12"/>
  <c r="H38" i="12"/>
  <c r="F38" i="12"/>
  <c r="D38" i="12"/>
  <c r="P37" i="12"/>
  <c r="N37" i="12"/>
  <c r="L37" i="12"/>
  <c r="J37" i="12"/>
  <c r="H37" i="12"/>
  <c r="F37" i="12"/>
  <c r="D37" i="12"/>
  <c r="P36" i="12"/>
  <c r="N36" i="12"/>
  <c r="L36" i="12"/>
  <c r="J36" i="12"/>
  <c r="H36" i="12"/>
  <c r="F36" i="12"/>
  <c r="D36" i="12"/>
  <c r="N35" i="12"/>
  <c r="D35" i="12"/>
  <c r="P34" i="12"/>
  <c r="N34" i="12"/>
  <c r="L34" i="12"/>
  <c r="J34" i="12"/>
  <c r="H34" i="12"/>
  <c r="F34" i="12"/>
  <c r="D34" i="12"/>
  <c r="P33" i="12"/>
  <c r="N33" i="12"/>
  <c r="L33" i="12"/>
  <c r="J33" i="12"/>
  <c r="H33" i="12"/>
  <c r="F33" i="12"/>
  <c r="D33" i="12"/>
  <c r="N32" i="12"/>
  <c r="J32" i="12"/>
  <c r="P31" i="12"/>
  <c r="N31" i="12"/>
  <c r="L31" i="12"/>
  <c r="J31" i="12"/>
  <c r="H31" i="12"/>
  <c r="F31" i="12"/>
  <c r="D31" i="12"/>
  <c r="P30" i="12"/>
  <c r="N30" i="12"/>
  <c r="L30" i="12"/>
  <c r="J30" i="12"/>
  <c r="H30" i="12"/>
  <c r="F30" i="12"/>
  <c r="D30" i="12"/>
  <c r="P29" i="12"/>
  <c r="N29" i="12"/>
  <c r="L29" i="12"/>
  <c r="J29" i="12"/>
  <c r="H29" i="12"/>
  <c r="F29" i="12"/>
  <c r="D29" i="12"/>
  <c r="P28" i="12"/>
  <c r="N28" i="12"/>
  <c r="L28" i="12"/>
  <c r="J28" i="12"/>
  <c r="H28" i="12"/>
  <c r="F28" i="12"/>
  <c r="D28" i="12"/>
  <c r="P27" i="12"/>
  <c r="N27" i="12"/>
  <c r="L27" i="12"/>
  <c r="J27" i="12"/>
  <c r="H27" i="12"/>
  <c r="F27" i="12"/>
  <c r="D27" i="12"/>
  <c r="P26" i="12"/>
  <c r="N26" i="12"/>
  <c r="L26" i="12"/>
  <c r="J26" i="12"/>
  <c r="H26" i="12"/>
  <c r="F26" i="12"/>
  <c r="D26" i="12"/>
  <c r="P25" i="12"/>
  <c r="N25" i="12"/>
  <c r="L25" i="12"/>
  <c r="J25" i="12"/>
  <c r="H25" i="12"/>
  <c r="F25" i="12"/>
  <c r="D25" i="12"/>
  <c r="P24" i="12"/>
  <c r="N24" i="12"/>
  <c r="L24" i="12"/>
  <c r="J24" i="12"/>
  <c r="H24" i="12"/>
  <c r="F24" i="12"/>
  <c r="D24" i="12"/>
  <c r="P23" i="12"/>
  <c r="N23" i="12"/>
  <c r="L23" i="12"/>
  <c r="J23" i="12"/>
  <c r="H23" i="12"/>
  <c r="F23" i="12"/>
  <c r="D23" i="12"/>
  <c r="P22" i="12"/>
  <c r="N22" i="12"/>
  <c r="L22" i="12"/>
  <c r="J22" i="12"/>
  <c r="H22" i="12"/>
  <c r="F22" i="12"/>
  <c r="D22" i="12"/>
  <c r="P21" i="12"/>
  <c r="N21" i="12"/>
  <c r="L21" i="12"/>
  <c r="J21" i="12"/>
  <c r="H21" i="12"/>
  <c r="F21" i="12"/>
  <c r="D21" i="12"/>
  <c r="P20" i="12"/>
  <c r="N20" i="12"/>
  <c r="L20" i="12"/>
  <c r="J20" i="12"/>
  <c r="H20" i="12"/>
  <c r="F20" i="12"/>
  <c r="D20" i="12"/>
  <c r="P19" i="12"/>
  <c r="N19" i="12"/>
  <c r="L19" i="12"/>
  <c r="J19" i="12"/>
  <c r="H19" i="12"/>
  <c r="F19" i="12"/>
  <c r="D19" i="12"/>
  <c r="P18" i="12"/>
  <c r="N18" i="12"/>
  <c r="L18" i="12"/>
  <c r="J18" i="12"/>
  <c r="H18" i="12"/>
  <c r="F18" i="12"/>
  <c r="D18" i="12"/>
  <c r="P17" i="12"/>
  <c r="N17" i="12"/>
  <c r="L17" i="12"/>
  <c r="J17" i="12"/>
  <c r="H17" i="12"/>
  <c r="F17" i="12"/>
  <c r="D17" i="12"/>
  <c r="P16" i="12"/>
  <c r="N16" i="12"/>
  <c r="L16" i="12"/>
  <c r="J16" i="12"/>
  <c r="H16" i="12"/>
  <c r="F16" i="12"/>
  <c r="D16" i="12"/>
  <c r="P15" i="12"/>
  <c r="N15" i="12"/>
  <c r="L15" i="12"/>
  <c r="J15" i="12"/>
  <c r="H15" i="12"/>
  <c r="F15" i="12"/>
  <c r="D15" i="12"/>
  <c r="P14" i="12"/>
  <c r="N14" i="12"/>
  <c r="L14" i="12"/>
  <c r="J14" i="12"/>
  <c r="H14" i="12"/>
  <c r="F14" i="12"/>
  <c r="D14" i="12"/>
  <c r="P13" i="12"/>
  <c r="N13" i="12"/>
  <c r="L13" i="12"/>
  <c r="J13" i="12"/>
  <c r="H13" i="12"/>
  <c r="F13" i="12"/>
  <c r="D13" i="12"/>
  <c r="P12" i="12"/>
  <c r="N12" i="12"/>
  <c r="L12" i="12"/>
  <c r="J12" i="12"/>
  <c r="H12" i="12"/>
  <c r="F12" i="12"/>
  <c r="D12" i="12"/>
  <c r="P11" i="12"/>
  <c r="N11" i="12"/>
  <c r="L11" i="12"/>
  <c r="J11" i="12"/>
  <c r="H11" i="12"/>
  <c r="F11" i="12"/>
  <c r="D11" i="12"/>
  <c r="P10" i="12"/>
  <c r="N10" i="12"/>
  <c r="L10" i="12"/>
  <c r="J10" i="12"/>
  <c r="H10" i="12"/>
  <c r="F10" i="12"/>
  <c r="D10" i="12"/>
  <c r="P9" i="12"/>
  <c r="N9" i="12"/>
  <c r="L9" i="12"/>
  <c r="J9" i="12"/>
  <c r="H9" i="12"/>
  <c r="F9" i="12"/>
  <c r="D9" i="12"/>
  <c r="P8" i="12"/>
  <c r="N8" i="12"/>
  <c r="L8" i="12"/>
  <c r="J8" i="12"/>
  <c r="H8" i="12"/>
  <c r="F8" i="12"/>
  <c r="D8" i="12"/>
  <c r="Q62" i="11"/>
  <c r="O61" i="11"/>
  <c r="M61" i="11"/>
  <c r="K61" i="11"/>
  <c r="I61" i="11"/>
  <c r="G61" i="11"/>
  <c r="E61" i="11"/>
  <c r="C61" i="11"/>
  <c r="S59" i="11"/>
  <c r="S58" i="11"/>
  <c r="S57" i="11"/>
  <c r="S56" i="11"/>
  <c r="S55" i="11"/>
  <c r="S54" i="11"/>
  <c r="S53" i="11"/>
  <c r="S52" i="11"/>
  <c r="L52" i="11"/>
  <c r="P51" i="11"/>
  <c r="N51" i="11"/>
  <c r="L51" i="11"/>
  <c r="J51" i="11"/>
  <c r="H51" i="11"/>
  <c r="F51" i="11"/>
  <c r="D51" i="11"/>
  <c r="P50" i="11"/>
  <c r="N50" i="11"/>
  <c r="L50" i="11"/>
  <c r="J50" i="11"/>
  <c r="H50" i="11"/>
  <c r="F50" i="11"/>
  <c r="D50" i="11"/>
  <c r="P49" i="11"/>
  <c r="N49" i="11"/>
  <c r="L49" i="11"/>
  <c r="J49" i="11"/>
  <c r="H49" i="11"/>
  <c r="F49" i="11"/>
  <c r="D49" i="11"/>
  <c r="P48" i="11"/>
  <c r="N48" i="11"/>
  <c r="L48" i="11"/>
  <c r="J48" i="11"/>
  <c r="H48" i="11"/>
  <c r="F48" i="11"/>
  <c r="D48" i="11"/>
  <c r="P47" i="11"/>
  <c r="N47" i="11"/>
  <c r="L47" i="11"/>
  <c r="J47" i="11"/>
  <c r="H47" i="11"/>
  <c r="F47" i="11"/>
  <c r="D47" i="11"/>
  <c r="P46" i="11"/>
  <c r="N46" i="11"/>
  <c r="L46" i="11"/>
  <c r="J46" i="11"/>
  <c r="H46" i="11"/>
  <c r="F46" i="11"/>
  <c r="D46" i="11"/>
  <c r="P45" i="11"/>
  <c r="N45" i="11"/>
  <c r="L45" i="11"/>
  <c r="J45" i="11"/>
  <c r="H45" i="11"/>
  <c r="F45" i="11"/>
  <c r="D45" i="11"/>
  <c r="P44" i="11"/>
  <c r="N44" i="11"/>
  <c r="L44" i="11"/>
  <c r="J44" i="11"/>
  <c r="H44" i="11"/>
  <c r="F44" i="11"/>
  <c r="D44" i="11"/>
  <c r="P43" i="11"/>
  <c r="N43" i="11"/>
  <c r="L43" i="11"/>
  <c r="J43" i="11"/>
  <c r="H43" i="11"/>
  <c r="F43" i="11"/>
  <c r="D43" i="11"/>
  <c r="P42" i="11"/>
  <c r="N42" i="11"/>
  <c r="L42" i="11"/>
  <c r="J42" i="11"/>
  <c r="H42" i="11"/>
  <c r="F42" i="11"/>
  <c r="D42" i="11"/>
  <c r="P41" i="11"/>
  <c r="N41" i="11"/>
  <c r="L41" i="11"/>
  <c r="J41" i="11"/>
  <c r="H41" i="11"/>
  <c r="F41" i="11"/>
  <c r="D41" i="11"/>
  <c r="P40" i="11"/>
  <c r="N40" i="11"/>
  <c r="L40" i="11"/>
  <c r="J40" i="11"/>
  <c r="H40" i="11"/>
  <c r="F40" i="11"/>
  <c r="D40" i="11"/>
  <c r="P39" i="11"/>
  <c r="N39" i="11"/>
  <c r="L39" i="11"/>
  <c r="J39" i="11"/>
  <c r="H39" i="11"/>
  <c r="F39" i="11"/>
  <c r="D39" i="11"/>
  <c r="P38" i="11"/>
  <c r="N38" i="11"/>
  <c r="L38" i="11"/>
  <c r="J38" i="11"/>
  <c r="H38" i="11"/>
  <c r="F38" i="11"/>
  <c r="D38" i="11"/>
  <c r="P37" i="11"/>
  <c r="N37" i="11"/>
  <c r="L37" i="11"/>
  <c r="J37" i="11"/>
  <c r="H37" i="11"/>
  <c r="F37" i="11"/>
  <c r="D37" i="11"/>
  <c r="P36" i="11"/>
  <c r="N36" i="11"/>
  <c r="L36" i="11"/>
  <c r="J36" i="11"/>
  <c r="H36" i="11"/>
  <c r="F36" i="11"/>
  <c r="D36" i="11"/>
  <c r="P35" i="11"/>
  <c r="N35" i="11"/>
  <c r="L35" i="11"/>
  <c r="J35" i="11"/>
  <c r="H35" i="11"/>
  <c r="F35" i="11"/>
  <c r="D35" i="11"/>
  <c r="P34" i="11"/>
  <c r="N34" i="11"/>
  <c r="L34" i="11"/>
  <c r="J34" i="11"/>
  <c r="H34" i="11"/>
  <c r="F34" i="11"/>
  <c r="D34" i="11"/>
  <c r="P33" i="11"/>
  <c r="N33" i="11"/>
  <c r="L33" i="11"/>
  <c r="J33" i="11"/>
  <c r="H33" i="11"/>
  <c r="F33" i="11"/>
  <c r="D33" i="11"/>
  <c r="P32" i="11"/>
  <c r="N32" i="11"/>
  <c r="L32" i="11"/>
  <c r="J32" i="11"/>
  <c r="H32" i="11"/>
  <c r="F32" i="11"/>
  <c r="D32" i="11"/>
  <c r="P31" i="11"/>
  <c r="N31" i="11"/>
  <c r="L31" i="11"/>
  <c r="J31" i="11"/>
  <c r="H31" i="11"/>
  <c r="F31" i="11"/>
  <c r="D31" i="11"/>
  <c r="P30" i="11"/>
  <c r="N30" i="11"/>
  <c r="L30" i="11"/>
  <c r="J30" i="11"/>
  <c r="H30" i="11"/>
  <c r="F30" i="11"/>
  <c r="D30" i="11"/>
  <c r="P29" i="11"/>
  <c r="N29" i="11"/>
  <c r="L29" i="11"/>
  <c r="J29" i="11"/>
  <c r="H29" i="11"/>
  <c r="F29" i="11"/>
  <c r="D29" i="11"/>
  <c r="P28" i="11"/>
  <c r="N28" i="11"/>
  <c r="L28" i="11"/>
  <c r="J28" i="11"/>
  <c r="H28" i="11"/>
  <c r="F28" i="11"/>
  <c r="D28" i="11"/>
  <c r="P27" i="11"/>
  <c r="N27" i="11"/>
  <c r="L27" i="11"/>
  <c r="J27" i="11"/>
  <c r="H27" i="11"/>
  <c r="F27" i="11"/>
  <c r="D27" i="11"/>
  <c r="P26" i="11"/>
  <c r="N26" i="11"/>
  <c r="L26" i="11"/>
  <c r="J26" i="11"/>
  <c r="H26" i="11"/>
  <c r="F26" i="11"/>
  <c r="D26" i="11"/>
  <c r="P25" i="11"/>
  <c r="N25" i="11"/>
  <c r="L25" i="11"/>
  <c r="J25" i="11"/>
  <c r="H25" i="11"/>
  <c r="F25" i="11"/>
  <c r="D25" i="11"/>
  <c r="P24" i="11"/>
  <c r="N24" i="11"/>
  <c r="L24" i="11"/>
  <c r="J24" i="11"/>
  <c r="H24" i="11"/>
  <c r="F24" i="11"/>
  <c r="D24" i="11"/>
  <c r="P23" i="11"/>
  <c r="N23" i="11"/>
  <c r="L23" i="11"/>
  <c r="J23" i="11"/>
  <c r="H23" i="11"/>
  <c r="F23" i="11"/>
  <c r="D23" i="11"/>
  <c r="P22" i="11"/>
  <c r="N22" i="11"/>
  <c r="L22" i="11"/>
  <c r="J22" i="11"/>
  <c r="H22" i="11"/>
  <c r="F22" i="11"/>
  <c r="D22" i="11"/>
  <c r="P21" i="11"/>
  <c r="N21" i="11"/>
  <c r="L21" i="11"/>
  <c r="J21" i="11"/>
  <c r="H21" i="11"/>
  <c r="F21" i="11"/>
  <c r="D21" i="11"/>
  <c r="P20" i="11"/>
  <c r="N20" i="11"/>
  <c r="L20" i="11"/>
  <c r="J20" i="11"/>
  <c r="H20" i="11"/>
  <c r="F20" i="11"/>
  <c r="D20" i="11"/>
  <c r="P19" i="11"/>
  <c r="N19" i="11"/>
  <c r="L19" i="11"/>
  <c r="J19" i="11"/>
  <c r="H19" i="11"/>
  <c r="F19" i="11"/>
  <c r="D19" i="11"/>
  <c r="P18" i="11"/>
  <c r="N18" i="11"/>
  <c r="L18" i="11"/>
  <c r="J18" i="11"/>
  <c r="H18" i="11"/>
  <c r="F18" i="11"/>
  <c r="D18" i="11"/>
  <c r="P17" i="11"/>
  <c r="N17" i="11"/>
  <c r="L17" i="11"/>
  <c r="J17" i="11"/>
  <c r="H17" i="11"/>
  <c r="F17" i="11"/>
  <c r="D17" i="11"/>
  <c r="P16" i="11"/>
  <c r="N16" i="11"/>
  <c r="L16" i="11"/>
  <c r="J16" i="11"/>
  <c r="H16" i="11"/>
  <c r="F16" i="11"/>
  <c r="D16" i="11"/>
  <c r="P15" i="11"/>
  <c r="N15" i="11"/>
  <c r="L15" i="11"/>
  <c r="J15" i="11"/>
  <c r="H15" i="11"/>
  <c r="F15" i="11"/>
  <c r="D15" i="11"/>
  <c r="P14" i="11"/>
  <c r="N14" i="11"/>
  <c r="L14" i="11"/>
  <c r="J14" i="11"/>
  <c r="H14" i="11"/>
  <c r="F14" i="11"/>
  <c r="D14" i="11"/>
  <c r="P13" i="11"/>
  <c r="N13" i="11"/>
  <c r="L13" i="11"/>
  <c r="J13" i="11"/>
  <c r="H13" i="11"/>
  <c r="F13" i="11"/>
  <c r="D13" i="11"/>
  <c r="P12" i="11"/>
  <c r="N12" i="11"/>
  <c r="L12" i="11"/>
  <c r="J12" i="11"/>
  <c r="H12" i="11"/>
  <c r="F12" i="11"/>
  <c r="D12" i="11"/>
  <c r="P11" i="11"/>
  <c r="N11" i="11"/>
  <c r="L11" i="11"/>
  <c r="J11" i="11"/>
  <c r="H11" i="11"/>
  <c r="F11" i="11"/>
  <c r="D11" i="11"/>
  <c r="P10" i="11"/>
  <c r="N10" i="11"/>
  <c r="L10" i="11"/>
  <c r="J10" i="11"/>
  <c r="H10" i="11"/>
  <c r="F10" i="11"/>
  <c r="D10" i="11"/>
  <c r="P9" i="11"/>
  <c r="N9" i="11"/>
  <c r="L9" i="11"/>
  <c r="J9" i="11"/>
  <c r="H9" i="11"/>
  <c r="F9" i="11"/>
  <c r="D9" i="11"/>
  <c r="P8" i="11"/>
  <c r="N8" i="11"/>
  <c r="L8" i="11"/>
  <c r="J8" i="11"/>
  <c r="H8" i="11"/>
  <c r="F8" i="11"/>
  <c r="D8" i="11"/>
  <c r="O63" i="10"/>
  <c r="O61" i="10"/>
  <c r="M60" i="10"/>
  <c r="K60" i="10"/>
  <c r="G60" i="10"/>
  <c r="E60" i="10"/>
  <c r="C60" i="10"/>
  <c r="F58" i="10"/>
  <c r="D58" i="10"/>
  <c r="F57" i="10"/>
  <c r="D57" i="10"/>
  <c r="F56" i="10"/>
  <c r="D56" i="10"/>
  <c r="F55" i="10"/>
  <c r="D55" i="10"/>
  <c r="F54" i="10"/>
  <c r="D54" i="10"/>
  <c r="F53" i="10"/>
  <c r="D53" i="10"/>
  <c r="F52" i="10"/>
  <c r="D52" i="10"/>
  <c r="F51" i="10"/>
  <c r="D51" i="10"/>
  <c r="L50" i="10"/>
  <c r="L49" i="10"/>
  <c r="F49" i="10"/>
  <c r="D49" i="10"/>
  <c r="N48" i="10"/>
  <c r="L48" i="10"/>
  <c r="J48" i="10"/>
  <c r="H48" i="10"/>
  <c r="F48" i="10"/>
  <c r="D48" i="10"/>
  <c r="N47" i="10"/>
  <c r="L47" i="10"/>
  <c r="J47" i="10"/>
  <c r="H47" i="10"/>
  <c r="F47" i="10"/>
  <c r="D47" i="10"/>
  <c r="N46" i="10"/>
  <c r="L46" i="10"/>
  <c r="J46" i="10"/>
  <c r="H46" i="10"/>
  <c r="F46" i="10"/>
  <c r="D46" i="10"/>
  <c r="N45" i="10"/>
  <c r="L45" i="10"/>
  <c r="J45" i="10"/>
  <c r="H45" i="10"/>
  <c r="F45" i="10"/>
  <c r="D45" i="10"/>
  <c r="N44" i="10"/>
  <c r="L44" i="10"/>
  <c r="J44" i="10"/>
  <c r="H44" i="10"/>
  <c r="F44" i="10"/>
  <c r="D44" i="10"/>
  <c r="N43" i="10"/>
  <c r="L43" i="10"/>
  <c r="J43" i="10"/>
  <c r="H43" i="10"/>
  <c r="F43" i="10"/>
  <c r="D43" i="10"/>
  <c r="N42" i="10"/>
  <c r="L42" i="10"/>
  <c r="J42" i="10"/>
  <c r="H42" i="10"/>
  <c r="F42" i="10"/>
  <c r="D42" i="10"/>
  <c r="N41" i="10"/>
  <c r="L41" i="10"/>
  <c r="J41" i="10"/>
  <c r="H41" i="10"/>
  <c r="F41" i="10"/>
  <c r="D41" i="10"/>
  <c r="N40" i="10"/>
  <c r="L40" i="10"/>
  <c r="J40" i="10"/>
  <c r="H40" i="10"/>
  <c r="F40" i="10"/>
  <c r="D40" i="10"/>
  <c r="N39" i="10"/>
  <c r="L39" i="10"/>
  <c r="J39" i="10"/>
  <c r="H39" i="10"/>
  <c r="F39" i="10"/>
  <c r="D39" i="10"/>
  <c r="N38" i="10"/>
  <c r="L38" i="10"/>
  <c r="J38" i="10"/>
  <c r="H38" i="10"/>
  <c r="F38" i="10"/>
  <c r="D38" i="10"/>
  <c r="N37" i="10"/>
  <c r="L37" i="10"/>
  <c r="J37" i="10"/>
  <c r="H37" i="10"/>
  <c r="F37" i="10"/>
  <c r="D37" i="10"/>
  <c r="N36" i="10"/>
  <c r="L36" i="10"/>
  <c r="J36" i="10"/>
  <c r="H36" i="10"/>
  <c r="F36" i="10"/>
  <c r="D36" i="10"/>
  <c r="N35" i="10"/>
  <c r="L35" i="10"/>
  <c r="J35" i="10"/>
  <c r="H35" i="10"/>
  <c r="F35" i="10"/>
  <c r="D35" i="10"/>
  <c r="O34" i="10"/>
  <c r="N34" i="10"/>
  <c r="L34" i="10"/>
  <c r="J34" i="10"/>
  <c r="H34" i="10"/>
  <c r="F34" i="10"/>
  <c r="D34" i="10"/>
  <c r="N33" i="10"/>
  <c r="L33" i="10"/>
  <c r="J33" i="10"/>
  <c r="H33" i="10"/>
  <c r="F33" i="10"/>
  <c r="D33" i="10"/>
  <c r="N32" i="10"/>
  <c r="L32" i="10"/>
  <c r="J32" i="10"/>
  <c r="H32" i="10"/>
  <c r="F32" i="10"/>
  <c r="D32" i="10"/>
  <c r="N31" i="10"/>
  <c r="L31" i="10"/>
  <c r="J31" i="10"/>
  <c r="H31" i="10"/>
  <c r="F31" i="10"/>
  <c r="D31" i="10"/>
  <c r="N30" i="10"/>
  <c r="L30" i="10"/>
  <c r="J30" i="10"/>
  <c r="H30" i="10"/>
  <c r="F30" i="10"/>
  <c r="D30" i="10"/>
  <c r="N29" i="10"/>
  <c r="L29" i="10"/>
  <c r="J29" i="10"/>
  <c r="H29" i="10"/>
  <c r="F29" i="10"/>
  <c r="D29" i="10"/>
  <c r="N28" i="10"/>
  <c r="L28" i="10"/>
  <c r="J28" i="10"/>
  <c r="H28" i="10"/>
  <c r="F28" i="10"/>
  <c r="D28" i="10"/>
  <c r="N27" i="10"/>
  <c r="L27" i="10"/>
  <c r="J27" i="10"/>
  <c r="H27" i="10"/>
  <c r="F27" i="10"/>
  <c r="D27" i="10"/>
  <c r="N26" i="10"/>
  <c r="L26" i="10"/>
  <c r="J26" i="10"/>
  <c r="H26" i="10"/>
  <c r="F26" i="10"/>
  <c r="D26" i="10"/>
  <c r="N25" i="10"/>
  <c r="L25" i="10"/>
  <c r="J25" i="10"/>
  <c r="H25" i="10"/>
  <c r="F25" i="10"/>
  <c r="D25" i="10"/>
  <c r="N24" i="10"/>
  <c r="L24" i="10"/>
  <c r="J24" i="10"/>
  <c r="H24" i="10"/>
  <c r="F24" i="10"/>
  <c r="D24" i="10"/>
  <c r="N23" i="10"/>
  <c r="L23" i="10"/>
  <c r="J23" i="10"/>
  <c r="H23" i="10"/>
  <c r="F23" i="10"/>
  <c r="D23" i="10"/>
  <c r="N22" i="10"/>
  <c r="L22" i="10"/>
  <c r="J22" i="10"/>
  <c r="H22" i="10"/>
  <c r="F22" i="10"/>
  <c r="D22" i="10"/>
  <c r="N21" i="10"/>
  <c r="L21" i="10"/>
  <c r="J21" i="10"/>
  <c r="H21" i="10"/>
  <c r="F21" i="10"/>
  <c r="D21" i="10"/>
  <c r="N20" i="10"/>
  <c r="L20" i="10"/>
  <c r="J20" i="10"/>
  <c r="H20" i="10"/>
  <c r="F20" i="10"/>
  <c r="D20" i="10"/>
  <c r="N19" i="10"/>
  <c r="L19" i="10"/>
  <c r="J19" i="10"/>
  <c r="H19" i="10"/>
  <c r="F19" i="10"/>
  <c r="D19" i="10"/>
  <c r="N18" i="10"/>
  <c r="L18" i="10"/>
  <c r="J18" i="10"/>
  <c r="H18" i="10"/>
  <c r="F18" i="10"/>
  <c r="D18" i="10"/>
  <c r="N17" i="10"/>
  <c r="L17" i="10"/>
  <c r="J17" i="10"/>
  <c r="H17" i="10"/>
  <c r="F17" i="10"/>
  <c r="D17" i="10"/>
  <c r="N16" i="10"/>
  <c r="L16" i="10"/>
  <c r="J16" i="10"/>
  <c r="H16" i="10"/>
  <c r="F16" i="10"/>
  <c r="D16" i="10"/>
  <c r="N15" i="10"/>
  <c r="L15" i="10"/>
  <c r="J15" i="10"/>
  <c r="H15" i="10"/>
  <c r="F15" i="10"/>
  <c r="D15" i="10"/>
  <c r="N14" i="10"/>
  <c r="L14" i="10"/>
  <c r="J14" i="10"/>
  <c r="H14" i="10"/>
  <c r="F14" i="10"/>
  <c r="D14" i="10"/>
  <c r="N13" i="10"/>
  <c r="L13" i="10"/>
  <c r="J13" i="10"/>
  <c r="H13" i="10"/>
  <c r="F13" i="10"/>
  <c r="D13" i="10"/>
  <c r="N12" i="10"/>
  <c r="L12" i="10"/>
  <c r="J12" i="10"/>
  <c r="H12" i="10"/>
  <c r="F12" i="10"/>
  <c r="D12" i="10"/>
  <c r="N11" i="10"/>
  <c r="L11" i="10"/>
  <c r="J11" i="10"/>
  <c r="H11" i="10"/>
  <c r="F11" i="10"/>
  <c r="D11" i="10"/>
  <c r="N10" i="10"/>
  <c r="L10" i="10"/>
  <c r="J10" i="10"/>
  <c r="H10" i="10"/>
  <c r="F10" i="10"/>
  <c r="D10" i="10"/>
  <c r="N9" i="10"/>
  <c r="L9" i="10"/>
  <c r="J9" i="10"/>
  <c r="H9" i="10"/>
  <c r="F9" i="10"/>
  <c r="D9" i="10"/>
  <c r="N8" i="10"/>
  <c r="L8" i="10"/>
  <c r="J8" i="10"/>
  <c r="H8" i="10"/>
  <c r="F8" i="10"/>
  <c r="D8" i="10"/>
  <c r="P55" i="9"/>
  <c r="N54" i="9"/>
  <c r="L54" i="9"/>
  <c r="J54" i="9"/>
  <c r="H54" i="9"/>
  <c r="F54" i="9"/>
  <c r="C54" i="9"/>
  <c r="M53" i="9"/>
  <c r="R52" i="9"/>
  <c r="O52" i="9"/>
  <c r="M52" i="9"/>
  <c r="K52" i="9"/>
  <c r="I52" i="9"/>
  <c r="G52" i="9"/>
  <c r="E52" i="9"/>
  <c r="R50" i="9"/>
  <c r="O50" i="9"/>
  <c r="M50" i="9"/>
  <c r="K50" i="9"/>
  <c r="I50" i="9"/>
  <c r="G50" i="9"/>
  <c r="E50" i="9"/>
  <c r="M49" i="9"/>
  <c r="G49" i="9"/>
  <c r="E49" i="9"/>
  <c r="O48" i="9"/>
  <c r="M48" i="9"/>
  <c r="K48" i="9"/>
  <c r="I48" i="9"/>
  <c r="G48" i="9"/>
  <c r="E48" i="9"/>
  <c r="O47" i="9"/>
  <c r="M47" i="9"/>
  <c r="K47" i="9"/>
  <c r="I47" i="9"/>
  <c r="G47" i="9"/>
  <c r="E47" i="9"/>
  <c r="O46" i="9"/>
  <c r="M46" i="9"/>
  <c r="K46" i="9"/>
  <c r="I46" i="9"/>
  <c r="G46" i="9"/>
  <c r="E46" i="9"/>
  <c r="O45" i="9"/>
  <c r="M45" i="9"/>
  <c r="K45" i="9"/>
  <c r="I45" i="9"/>
  <c r="G45" i="9"/>
  <c r="E45" i="9"/>
  <c r="O44" i="9"/>
  <c r="M44" i="9"/>
  <c r="K44" i="9"/>
  <c r="I44" i="9"/>
  <c r="G44" i="9"/>
  <c r="E44" i="9"/>
  <c r="O43" i="9"/>
  <c r="M43" i="9"/>
  <c r="K43" i="9"/>
  <c r="I43" i="9"/>
  <c r="G43" i="9"/>
  <c r="E43" i="9"/>
  <c r="O42" i="9"/>
  <c r="M42" i="9"/>
  <c r="K42" i="9"/>
  <c r="I42" i="9"/>
  <c r="G42" i="9"/>
  <c r="E42" i="9"/>
  <c r="O41" i="9"/>
  <c r="M41" i="9"/>
  <c r="K41" i="9"/>
  <c r="I41" i="9"/>
  <c r="G41" i="9"/>
  <c r="E41" i="9"/>
  <c r="O40" i="9"/>
  <c r="M40" i="9"/>
  <c r="K40" i="9"/>
  <c r="I40" i="9"/>
  <c r="G40" i="9"/>
  <c r="E40" i="9"/>
  <c r="O39" i="9"/>
  <c r="M39" i="9"/>
  <c r="K39" i="9"/>
  <c r="I39" i="9"/>
  <c r="G39" i="9"/>
  <c r="E39" i="9"/>
  <c r="O38" i="9"/>
  <c r="M38" i="9"/>
  <c r="K38" i="9"/>
  <c r="I38" i="9"/>
  <c r="G38" i="9"/>
  <c r="E38" i="9"/>
  <c r="O37" i="9"/>
  <c r="M37" i="9"/>
  <c r="K37" i="9"/>
  <c r="I37" i="9"/>
  <c r="G37" i="9"/>
  <c r="E37" i="9"/>
  <c r="O36" i="9"/>
  <c r="M36" i="9"/>
  <c r="K36" i="9"/>
  <c r="I36" i="9"/>
  <c r="G36" i="9"/>
  <c r="E36" i="9"/>
  <c r="O35" i="9"/>
  <c r="M35" i="9"/>
  <c r="K35" i="9"/>
  <c r="I35" i="9"/>
  <c r="G35" i="9"/>
  <c r="E35" i="9"/>
  <c r="O34" i="9"/>
  <c r="M34" i="9"/>
  <c r="K34" i="9"/>
  <c r="I34" i="9"/>
  <c r="G34" i="9"/>
  <c r="E34" i="9"/>
  <c r="O33" i="9"/>
  <c r="M33" i="9"/>
  <c r="K33" i="9"/>
  <c r="I33" i="9"/>
  <c r="G33" i="9"/>
  <c r="E33" i="9"/>
  <c r="O32" i="9"/>
  <c r="M32" i="9"/>
  <c r="K32" i="9"/>
  <c r="I32" i="9"/>
  <c r="G32" i="9"/>
  <c r="E32" i="9"/>
  <c r="O31" i="9"/>
  <c r="M31" i="9"/>
  <c r="K31" i="9"/>
  <c r="I31" i="9"/>
  <c r="G31" i="9"/>
  <c r="E31" i="9"/>
  <c r="O30" i="9"/>
  <c r="M30" i="9"/>
  <c r="K30" i="9"/>
  <c r="I30" i="9"/>
  <c r="G30" i="9"/>
  <c r="E30" i="9"/>
  <c r="O29" i="9"/>
  <c r="M29" i="9"/>
  <c r="K29" i="9"/>
  <c r="I29" i="9"/>
  <c r="G29" i="9"/>
  <c r="E29" i="9"/>
  <c r="O28" i="9"/>
  <c r="M28" i="9"/>
  <c r="K28" i="9"/>
  <c r="I28" i="9"/>
  <c r="G28" i="9"/>
  <c r="E28" i="9"/>
  <c r="O27" i="9"/>
  <c r="M27" i="9"/>
  <c r="K27" i="9"/>
  <c r="I27" i="9"/>
  <c r="G27" i="9"/>
  <c r="E27" i="9"/>
  <c r="O26" i="9"/>
  <c r="M26" i="9"/>
  <c r="K26" i="9"/>
  <c r="I26" i="9"/>
  <c r="G26" i="9"/>
  <c r="E26" i="9"/>
  <c r="O25" i="9"/>
  <c r="M25" i="9"/>
  <c r="K25" i="9"/>
  <c r="I25" i="9"/>
  <c r="G25" i="9"/>
  <c r="E25" i="9"/>
  <c r="O24" i="9"/>
  <c r="M24" i="9"/>
  <c r="K24" i="9"/>
  <c r="I24" i="9"/>
  <c r="G24" i="9"/>
  <c r="E24" i="9"/>
  <c r="O23" i="9"/>
  <c r="M23" i="9"/>
  <c r="K23" i="9"/>
  <c r="I23" i="9"/>
  <c r="G23" i="9"/>
  <c r="E23" i="9"/>
  <c r="O22" i="9"/>
  <c r="M22" i="9"/>
  <c r="K22" i="9"/>
  <c r="I22" i="9"/>
  <c r="G22" i="9"/>
  <c r="E22" i="9"/>
  <c r="O21" i="9"/>
  <c r="M21" i="9"/>
  <c r="K21" i="9"/>
  <c r="I21" i="9"/>
  <c r="G21" i="9"/>
  <c r="E21" i="9"/>
  <c r="O20" i="9"/>
  <c r="M20" i="9"/>
  <c r="K20" i="9"/>
  <c r="I20" i="9"/>
  <c r="G20" i="9"/>
  <c r="E20" i="9"/>
  <c r="O19" i="9"/>
  <c r="M19" i="9"/>
  <c r="K19" i="9"/>
  <c r="I19" i="9"/>
  <c r="G19" i="9"/>
  <c r="E19" i="9"/>
  <c r="O18" i="9"/>
  <c r="M18" i="9"/>
  <c r="K18" i="9"/>
  <c r="I18" i="9"/>
  <c r="G18" i="9"/>
  <c r="E18" i="9"/>
  <c r="O17" i="9"/>
  <c r="M17" i="9"/>
  <c r="K17" i="9"/>
  <c r="I17" i="9"/>
  <c r="G17" i="9"/>
  <c r="E17" i="9"/>
  <c r="O16" i="9"/>
  <c r="M16" i="9"/>
  <c r="K16" i="9"/>
  <c r="I16" i="9"/>
  <c r="G16" i="9"/>
  <c r="E16" i="9"/>
  <c r="O15" i="9"/>
  <c r="M15" i="9"/>
  <c r="K15" i="9"/>
  <c r="I15" i="9"/>
  <c r="G15" i="9"/>
  <c r="E15" i="9"/>
  <c r="O14" i="9"/>
  <c r="M14" i="9"/>
  <c r="K14" i="9"/>
  <c r="I14" i="9"/>
  <c r="G14" i="9"/>
  <c r="E14" i="9"/>
  <c r="O13" i="9"/>
  <c r="M13" i="9"/>
  <c r="K13" i="9"/>
  <c r="I13" i="9"/>
  <c r="G13" i="9"/>
  <c r="E13" i="9"/>
  <c r="O12" i="9"/>
  <c r="M12" i="9"/>
  <c r="K12" i="9"/>
  <c r="I12" i="9"/>
  <c r="G12" i="9"/>
  <c r="E12" i="9"/>
  <c r="O11" i="9"/>
  <c r="M11" i="9"/>
  <c r="K11" i="9"/>
  <c r="I11" i="9"/>
  <c r="G11" i="9"/>
  <c r="E11" i="9"/>
  <c r="O10" i="9"/>
  <c r="M10" i="9"/>
  <c r="K10" i="9"/>
  <c r="I10" i="9"/>
  <c r="G10" i="9"/>
  <c r="E10" i="9"/>
  <c r="O9" i="9"/>
  <c r="M9" i="9"/>
  <c r="K9" i="9"/>
  <c r="I9" i="9"/>
  <c r="G9" i="9"/>
  <c r="E9" i="9"/>
  <c r="O8" i="9"/>
  <c r="M8" i="9"/>
  <c r="K8" i="9"/>
  <c r="I8" i="9"/>
  <c r="G8" i="9"/>
  <c r="E8" i="9"/>
  <c r="Q72" i="8"/>
  <c r="O65" i="8"/>
  <c r="O62" i="8"/>
  <c r="M61" i="8"/>
  <c r="K61" i="8"/>
  <c r="I61" i="8"/>
  <c r="G61" i="8"/>
  <c r="E61" i="8"/>
  <c r="C61" i="8"/>
  <c r="L60" i="8"/>
  <c r="N59" i="8"/>
  <c r="L59" i="8"/>
  <c r="J59" i="8"/>
  <c r="H59" i="8"/>
  <c r="F59" i="8"/>
  <c r="D59" i="8"/>
  <c r="N58" i="8"/>
  <c r="L58" i="8"/>
  <c r="J58" i="8"/>
  <c r="H58" i="8"/>
  <c r="F58" i="8"/>
  <c r="D58" i="8"/>
  <c r="N57" i="8"/>
  <c r="L57" i="8"/>
  <c r="J57" i="8"/>
  <c r="H57" i="8"/>
  <c r="F57" i="8"/>
  <c r="D57" i="8"/>
  <c r="N56" i="8"/>
  <c r="L56" i="8"/>
  <c r="J56" i="8"/>
  <c r="H56" i="8"/>
  <c r="F56" i="8"/>
  <c r="D56" i="8"/>
  <c r="N55" i="8"/>
  <c r="L55" i="8"/>
  <c r="J55" i="8"/>
  <c r="H55" i="8"/>
  <c r="F55" i="8"/>
  <c r="D55" i="8"/>
  <c r="N54" i="8"/>
  <c r="L54" i="8"/>
  <c r="J54" i="8"/>
  <c r="H54" i="8"/>
  <c r="F54" i="8"/>
  <c r="D54" i="8"/>
  <c r="N53" i="8"/>
  <c r="L53" i="8"/>
  <c r="J53" i="8"/>
  <c r="H53" i="8"/>
  <c r="F53" i="8"/>
  <c r="D53" i="8"/>
  <c r="N52" i="8"/>
  <c r="L52" i="8"/>
  <c r="J52" i="8"/>
  <c r="H52" i="8"/>
  <c r="F52" i="8"/>
  <c r="D52" i="8"/>
  <c r="N51" i="8"/>
  <c r="L51" i="8"/>
  <c r="J51" i="8"/>
  <c r="H51" i="8"/>
  <c r="N50" i="8"/>
  <c r="L50" i="8"/>
  <c r="J50" i="8"/>
  <c r="H50" i="8"/>
  <c r="F50" i="8"/>
  <c r="D50" i="8"/>
  <c r="N49" i="8"/>
  <c r="L49" i="8"/>
  <c r="J49" i="8"/>
  <c r="H49" i="8"/>
  <c r="F49" i="8"/>
  <c r="D49" i="8"/>
  <c r="N48" i="8"/>
  <c r="L48" i="8"/>
  <c r="J48" i="8"/>
  <c r="H48" i="8"/>
  <c r="F48" i="8"/>
  <c r="D48" i="8"/>
  <c r="N47" i="8"/>
  <c r="L47" i="8"/>
  <c r="J47" i="8"/>
  <c r="H47" i="8"/>
  <c r="F47" i="8"/>
  <c r="D47" i="8"/>
  <c r="N46" i="8"/>
  <c r="L46" i="8"/>
  <c r="J46" i="8"/>
  <c r="H46" i="8"/>
  <c r="F46" i="8"/>
  <c r="D46" i="8"/>
  <c r="N45" i="8"/>
  <c r="L45" i="8"/>
  <c r="J45" i="8"/>
  <c r="H45" i="8"/>
  <c r="F45" i="8"/>
  <c r="D45" i="8"/>
  <c r="N44" i="8"/>
  <c r="L44" i="8"/>
  <c r="J44" i="8"/>
  <c r="H44" i="8"/>
  <c r="F44" i="8"/>
  <c r="D44" i="8"/>
  <c r="N43" i="8"/>
  <c r="L43" i="8"/>
  <c r="J43" i="8"/>
  <c r="H43" i="8"/>
  <c r="F43" i="8"/>
  <c r="D43" i="8"/>
  <c r="N42" i="8"/>
  <c r="L42" i="8"/>
  <c r="J42" i="8"/>
  <c r="H42" i="8"/>
  <c r="F42" i="8"/>
  <c r="D42" i="8"/>
  <c r="N41" i="8"/>
  <c r="L41" i="8"/>
  <c r="J41" i="8"/>
  <c r="H41" i="8"/>
  <c r="F41" i="8"/>
  <c r="D41" i="8"/>
  <c r="N40" i="8"/>
  <c r="L40" i="8"/>
  <c r="J40" i="8"/>
  <c r="H40" i="8"/>
  <c r="F40" i="8"/>
  <c r="D40" i="8"/>
  <c r="N39" i="8"/>
  <c r="L39" i="8"/>
  <c r="J39" i="8"/>
  <c r="H39" i="8"/>
  <c r="F39" i="8"/>
  <c r="D39" i="8"/>
  <c r="N38" i="8"/>
  <c r="L38" i="8"/>
  <c r="J38" i="8"/>
  <c r="H38" i="8"/>
  <c r="F38" i="8"/>
  <c r="D38" i="8"/>
  <c r="N37" i="8"/>
  <c r="L37" i="8"/>
  <c r="J37" i="8"/>
  <c r="H37" i="8"/>
  <c r="F37" i="8"/>
  <c r="D37" i="8"/>
  <c r="N36" i="8"/>
  <c r="L36" i="8"/>
  <c r="J36" i="8"/>
  <c r="H36" i="8"/>
  <c r="F36" i="8"/>
  <c r="D36" i="8"/>
  <c r="N35" i="8"/>
  <c r="L35" i="8"/>
  <c r="J35" i="8"/>
  <c r="H35" i="8"/>
  <c r="F35" i="8"/>
  <c r="D35" i="8"/>
  <c r="N34" i="8"/>
  <c r="L34" i="8"/>
  <c r="J34" i="8"/>
  <c r="H34" i="8"/>
  <c r="F34" i="8"/>
  <c r="D34" i="8"/>
  <c r="N33" i="8"/>
  <c r="L33" i="8"/>
  <c r="J33" i="8"/>
  <c r="H33" i="8"/>
  <c r="F33" i="8"/>
  <c r="D33" i="8"/>
  <c r="N32" i="8"/>
  <c r="L32" i="8"/>
  <c r="J32" i="8"/>
  <c r="H32" i="8"/>
  <c r="F32" i="8"/>
  <c r="D32" i="8"/>
  <c r="N31" i="8"/>
  <c r="L31" i="8"/>
  <c r="J31" i="8"/>
  <c r="H31" i="8"/>
  <c r="F31" i="8"/>
  <c r="D31" i="8"/>
  <c r="N30" i="8"/>
  <c r="L30" i="8"/>
  <c r="J30" i="8"/>
  <c r="H30" i="8"/>
  <c r="F30" i="8"/>
  <c r="D30" i="8"/>
  <c r="N29" i="8"/>
  <c r="L29" i="8"/>
  <c r="J29" i="8"/>
  <c r="H29" i="8"/>
  <c r="F29" i="8"/>
  <c r="D29" i="8"/>
  <c r="N28" i="8"/>
  <c r="L28" i="8"/>
  <c r="J28" i="8"/>
  <c r="H28" i="8"/>
  <c r="F28" i="8"/>
  <c r="D28" i="8"/>
  <c r="N27" i="8"/>
  <c r="L27" i="8"/>
  <c r="J27" i="8"/>
  <c r="H27" i="8"/>
  <c r="F27" i="8"/>
  <c r="D27" i="8"/>
  <c r="N26" i="8"/>
  <c r="L26" i="8"/>
  <c r="J26" i="8"/>
  <c r="H26" i="8"/>
  <c r="F26" i="8"/>
  <c r="D26" i="8"/>
  <c r="N25" i="8"/>
  <c r="L25" i="8"/>
  <c r="J25" i="8"/>
  <c r="H25" i="8"/>
  <c r="F25" i="8"/>
  <c r="D25" i="8"/>
  <c r="N24" i="8"/>
  <c r="L24" i="8"/>
  <c r="J24" i="8"/>
  <c r="H24" i="8"/>
  <c r="F24" i="8"/>
  <c r="D24" i="8"/>
  <c r="N23" i="8"/>
  <c r="L23" i="8"/>
  <c r="J23" i="8"/>
  <c r="H23" i="8"/>
  <c r="F23" i="8"/>
  <c r="D23" i="8"/>
  <c r="N22" i="8"/>
  <c r="L22" i="8"/>
  <c r="J22" i="8"/>
  <c r="H22" i="8"/>
  <c r="F22" i="8"/>
  <c r="D22" i="8"/>
  <c r="N21" i="8"/>
  <c r="L21" i="8"/>
  <c r="J21" i="8"/>
  <c r="H21" i="8"/>
  <c r="F21" i="8"/>
  <c r="D21" i="8"/>
  <c r="N20" i="8"/>
  <c r="L20" i="8"/>
  <c r="J20" i="8"/>
  <c r="H20" i="8"/>
  <c r="F20" i="8"/>
  <c r="D20" i="8"/>
  <c r="N19" i="8"/>
  <c r="L19" i="8"/>
  <c r="J19" i="8"/>
  <c r="H19" i="8"/>
  <c r="F19" i="8"/>
  <c r="D19" i="8"/>
  <c r="N18" i="8"/>
  <c r="L18" i="8"/>
  <c r="J18" i="8"/>
  <c r="H18" i="8"/>
  <c r="F18" i="8"/>
  <c r="D18" i="8"/>
  <c r="N17" i="8"/>
  <c r="L17" i="8"/>
  <c r="J17" i="8"/>
  <c r="H17" i="8"/>
  <c r="F17" i="8"/>
  <c r="D17" i="8"/>
  <c r="N16" i="8"/>
  <c r="L16" i="8"/>
  <c r="J16" i="8"/>
  <c r="H16" i="8"/>
  <c r="F16" i="8"/>
  <c r="D16" i="8"/>
  <c r="N15" i="8"/>
  <c r="L15" i="8"/>
  <c r="J15" i="8"/>
  <c r="H15" i="8"/>
  <c r="F15" i="8"/>
  <c r="D15" i="8"/>
  <c r="N14" i="8"/>
  <c r="L14" i="8"/>
  <c r="J14" i="8"/>
  <c r="H14" i="8"/>
  <c r="F14" i="8"/>
  <c r="D14" i="8"/>
  <c r="N13" i="8"/>
  <c r="L13" i="8"/>
  <c r="J13" i="8"/>
  <c r="H13" i="8"/>
  <c r="F13" i="8"/>
  <c r="D13" i="8"/>
  <c r="N12" i="8"/>
  <c r="L12" i="8"/>
  <c r="J12" i="8"/>
  <c r="H12" i="8"/>
  <c r="F12" i="8"/>
  <c r="D12" i="8"/>
  <c r="N11" i="8"/>
  <c r="L11" i="8"/>
  <c r="J11" i="8"/>
  <c r="H11" i="8"/>
  <c r="F11" i="8"/>
  <c r="D11" i="8"/>
  <c r="N10" i="8"/>
  <c r="L10" i="8"/>
  <c r="J10" i="8"/>
  <c r="H10" i="8"/>
  <c r="F10" i="8"/>
  <c r="D10" i="8"/>
  <c r="N9" i="8"/>
  <c r="L9" i="8"/>
  <c r="J9" i="8"/>
  <c r="H9" i="8"/>
  <c r="F9" i="8"/>
  <c r="D9" i="8"/>
  <c r="N8" i="8"/>
  <c r="L8" i="8"/>
  <c r="J8" i="8"/>
  <c r="H8" i="8"/>
  <c r="F8" i="8"/>
  <c r="D8" i="8"/>
  <c r="O65" i="7"/>
  <c r="M64" i="7"/>
  <c r="K64" i="7"/>
  <c r="I64" i="7"/>
  <c r="G64" i="7"/>
  <c r="E64" i="7"/>
  <c r="C64" i="7"/>
  <c r="N63" i="7"/>
  <c r="F63" i="7"/>
  <c r="Q62" i="7"/>
  <c r="F62" i="7"/>
  <c r="D62" i="7"/>
  <c r="Q61" i="7"/>
  <c r="F61" i="7"/>
  <c r="D61" i="7"/>
  <c r="Q60" i="7"/>
  <c r="F60" i="7"/>
  <c r="D60" i="7"/>
  <c r="Q59" i="7"/>
  <c r="F59" i="7"/>
  <c r="D59" i="7"/>
  <c r="Q58" i="7"/>
  <c r="F58" i="7"/>
  <c r="D58" i="7"/>
  <c r="Q57" i="7"/>
  <c r="F57" i="7"/>
  <c r="D57" i="7"/>
  <c r="Q56" i="7"/>
  <c r="F56" i="7"/>
  <c r="D56" i="7"/>
  <c r="Q55" i="7"/>
  <c r="F55" i="7"/>
  <c r="D55" i="7"/>
  <c r="Q54" i="7"/>
  <c r="H54" i="7"/>
  <c r="F54" i="7"/>
  <c r="D54" i="7"/>
  <c r="N52" i="7"/>
  <c r="L52" i="7"/>
  <c r="J52" i="7"/>
  <c r="H52" i="7"/>
  <c r="F52" i="7"/>
  <c r="D52" i="7"/>
  <c r="N51" i="7"/>
  <c r="L51" i="7"/>
  <c r="J51" i="7"/>
  <c r="H51" i="7"/>
  <c r="F51" i="7"/>
  <c r="D51" i="7"/>
  <c r="N50" i="7"/>
  <c r="L50" i="7"/>
  <c r="J50" i="7"/>
  <c r="H50" i="7"/>
  <c r="F50" i="7"/>
  <c r="D50" i="7"/>
  <c r="N49" i="7"/>
  <c r="L49" i="7"/>
  <c r="J49" i="7"/>
  <c r="H49" i="7"/>
  <c r="F49" i="7"/>
  <c r="D49" i="7"/>
  <c r="N48" i="7"/>
  <c r="L48" i="7"/>
  <c r="J48" i="7"/>
  <c r="H48" i="7"/>
  <c r="F48" i="7"/>
  <c r="D48" i="7"/>
  <c r="N47" i="7"/>
  <c r="L47" i="7"/>
  <c r="J47" i="7"/>
  <c r="H47" i="7"/>
  <c r="F47" i="7"/>
  <c r="D47" i="7"/>
  <c r="N46" i="7"/>
  <c r="L46" i="7"/>
  <c r="J46" i="7"/>
  <c r="H46" i="7"/>
  <c r="F46" i="7"/>
  <c r="D46" i="7"/>
  <c r="Q45" i="7"/>
  <c r="N45" i="7"/>
  <c r="L45" i="7"/>
  <c r="J45" i="7"/>
  <c r="H45" i="7"/>
  <c r="F45" i="7"/>
  <c r="D45" i="7"/>
  <c r="N44" i="7"/>
  <c r="L44" i="7"/>
  <c r="J44" i="7"/>
  <c r="H44" i="7"/>
  <c r="F44" i="7"/>
  <c r="D44" i="7"/>
  <c r="N43" i="7"/>
  <c r="L43" i="7"/>
  <c r="J43" i="7"/>
  <c r="H43" i="7"/>
  <c r="F43" i="7"/>
  <c r="D43" i="7"/>
  <c r="N42" i="7"/>
  <c r="L42" i="7"/>
  <c r="J42" i="7"/>
  <c r="H42" i="7"/>
  <c r="F42" i="7"/>
  <c r="D42" i="7"/>
  <c r="N41" i="7"/>
  <c r="L41" i="7"/>
  <c r="J41" i="7"/>
  <c r="H41" i="7"/>
  <c r="F41" i="7"/>
  <c r="D41" i="7"/>
  <c r="N40" i="7"/>
  <c r="L40" i="7"/>
  <c r="J40" i="7"/>
  <c r="H40" i="7"/>
  <c r="F40" i="7"/>
  <c r="D40" i="7"/>
  <c r="N39" i="7"/>
  <c r="L39" i="7"/>
  <c r="J39" i="7"/>
  <c r="H39" i="7"/>
  <c r="F39" i="7"/>
  <c r="D39" i="7"/>
  <c r="N38" i="7"/>
  <c r="L38" i="7"/>
  <c r="J38" i="7"/>
  <c r="H38" i="7"/>
  <c r="F38" i="7"/>
  <c r="D38" i="7"/>
  <c r="N37" i="7"/>
  <c r="L37" i="7"/>
  <c r="J37" i="7"/>
  <c r="H37" i="7"/>
  <c r="F37" i="7"/>
  <c r="D37" i="7"/>
  <c r="N36" i="7"/>
  <c r="L36" i="7"/>
  <c r="J36" i="7"/>
  <c r="H36" i="7"/>
  <c r="F36" i="7"/>
  <c r="D36" i="7"/>
  <c r="N35" i="7"/>
  <c r="L35" i="7"/>
  <c r="J35" i="7"/>
  <c r="H35" i="7"/>
  <c r="F35" i="7"/>
  <c r="D35" i="7"/>
  <c r="N34" i="7"/>
  <c r="L34" i="7"/>
  <c r="J34" i="7"/>
  <c r="H34" i="7"/>
  <c r="F34" i="7"/>
  <c r="D34" i="7"/>
  <c r="N33" i="7"/>
  <c r="L33" i="7"/>
  <c r="J33" i="7"/>
  <c r="H33" i="7"/>
  <c r="F33" i="7"/>
  <c r="D33" i="7"/>
  <c r="N32" i="7"/>
  <c r="J32" i="7"/>
  <c r="H32" i="7"/>
  <c r="F32" i="7"/>
  <c r="D32" i="7"/>
  <c r="N31" i="7"/>
  <c r="L31" i="7"/>
  <c r="J31" i="7"/>
  <c r="H31" i="7"/>
  <c r="F31" i="7"/>
  <c r="D31" i="7"/>
  <c r="N30" i="7"/>
  <c r="L30" i="7"/>
  <c r="J30" i="7"/>
  <c r="H30" i="7"/>
  <c r="F30" i="7"/>
  <c r="D30" i="7"/>
  <c r="N29" i="7"/>
  <c r="L29" i="7"/>
  <c r="J29" i="7"/>
  <c r="H29" i="7"/>
  <c r="F29" i="7"/>
  <c r="D29" i="7"/>
  <c r="N28" i="7"/>
  <c r="L28" i="7"/>
  <c r="J28" i="7"/>
  <c r="H28" i="7"/>
  <c r="F28" i="7"/>
  <c r="D28" i="7"/>
  <c r="N27" i="7"/>
  <c r="L27" i="7"/>
  <c r="J27" i="7"/>
  <c r="H27" i="7"/>
  <c r="F27" i="7"/>
  <c r="D27" i="7"/>
  <c r="N26" i="7"/>
  <c r="L26" i="7"/>
  <c r="J26" i="7"/>
  <c r="H26" i="7"/>
  <c r="F26" i="7"/>
  <c r="D26" i="7"/>
  <c r="N25" i="7"/>
  <c r="L25" i="7"/>
  <c r="J25" i="7"/>
  <c r="H25" i="7"/>
  <c r="F25" i="7"/>
  <c r="D25" i="7"/>
  <c r="N24" i="7"/>
  <c r="L24" i="7"/>
  <c r="J24" i="7"/>
  <c r="H24" i="7"/>
  <c r="F24" i="7"/>
  <c r="D24" i="7"/>
  <c r="N23" i="7"/>
  <c r="L23" i="7"/>
  <c r="J23" i="7"/>
  <c r="H23" i="7"/>
  <c r="F23" i="7"/>
  <c r="D23" i="7"/>
  <c r="N22" i="7"/>
  <c r="L22" i="7"/>
  <c r="J22" i="7"/>
  <c r="H22" i="7"/>
  <c r="F22" i="7"/>
  <c r="D22" i="7"/>
  <c r="O21" i="7"/>
  <c r="N21" i="7"/>
  <c r="L21" i="7"/>
  <c r="J21" i="7"/>
  <c r="H21" i="7"/>
  <c r="F21" i="7"/>
  <c r="D21" i="7"/>
  <c r="N20" i="7"/>
  <c r="L20" i="7"/>
  <c r="J20" i="7"/>
  <c r="H20" i="7"/>
  <c r="F20" i="7"/>
  <c r="D20" i="7"/>
  <c r="N19" i="7"/>
  <c r="L19" i="7"/>
  <c r="J19" i="7"/>
  <c r="H19" i="7"/>
  <c r="F19" i="7"/>
  <c r="D19" i="7"/>
  <c r="N18" i="7"/>
  <c r="L18" i="7"/>
  <c r="J18" i="7"/>
  <c r="H18" i="7"/>
  <c r="F18" i="7"/>
  <c r="D18" i="7"/>
  <c r="N17" i="7"/>
  <c r="L17" i="7"/>
  <c r="J17" i="7"/>
  <c r="H17" i="7"/>
  <c r="F17" i="7"/>
  <c r="D17" i="7"/>
  <c r="N16" i="7"/>
  <c r="L16" i="7"/>
  <c r="J16" i="7"/>
  <c r="H16" i="7"/>
  <c r="F16" i="7"/>
  <c r="D16" i="7"/>
  <c r="N15" i="7"/>
  <c r="L15" i="7"/>
  <c r="J15" i="7"/>
  <c r="H15" i="7"/>
  <c r="F15" i="7"/>
  <c r="D15" i="7"/>
  <c r="N14" i="7"/>
  <c r="L14" i="7"/>
  <c r="J14" i="7"/>
  <c r="H14" i="7"/>
  <c r="F14" i="7"/>
  <c r="D14" i="7"/>
  <c r="N13" i="7"/>
  <c r="L13" i="7"/>
  <c r="J13" i="7"/>
  <c r="H13" i="7"/>
  <c r="F13" i="7"/>
  <c r="D13" i="7"/>
  <c r="N12" i="7"/>
  <c r="L12" i="7"/>
  <c r="J12" i="7"/>
  <c r="H12" i="7"/>
  <c r="F12" i="7"/>
  <c r="D12" i="7"/>
  <c r="N11" i="7"/>
  <c r="L11" i="7"/>
  <c r="J11" i="7"/>
  <c r="H11" i="7"/>
  <c r="F11" i="7"/>
  <c r="D11" i="7"/>
  <c r="N10" i="7"/>
  <c r="L10" i="7"/>
  <c r="J10" i="7"/>
  <c r="H10" i="7"/>
  <c r="F10" i="7"/>
  <c r="D10" i="7"/>
  <c r="N9" i="7"/>
  <c r="L9" i="7"/>
  <c r="J9" i="7"/>
  <c r="H9" i="7"/>
  <c r="F9" i="7"/>
  <c r="D9" i="7"/>
  <c r="N8" i="7"/>
  <c r="L8" i="7"/>
  <c r="J8" i="7"/>
  <c r="H8" i="7"/>
  <c r="F8" i="7"/>
  <c r="D8" i="7"/>
  <c r="O74" i="6"/>
  <c r="M73" i="6"/>
  <c r="Q72" i="6"/>
  <c r="P72" i="6"/>
  <c r="O71" i="6"/>
  <c r="N71" i="6"/>
  <c r="L71" i="6"/>
  <c r="J71" i="6"/>
  <c r="H71" i="6"/>
  <c r="F71" i="6"/>
  <c r="D71" i="6"/>
  <c r="O70" i="6"/>
  <c r="N70" i="6"/>
  <c r="L70" i="6"/>
  <c r="J70" i="6"/>
  <c r="H70" i="6"/>
  <c r="F70" i="6"/>
  <c r="D70" i="6"/>
  <c r="O69" i="6"/>
  <c r="N69" i="6"/>
  <c r="L69" i="6"/>
  <c r="J69" i="6"/>
  <c r="H69" i="6"/>
  <c r="F69" i="6"/>
  <c r="D69" i="6"/>
  <c r="O68" i="6"/>
  <c r="N68" i="6"/>
  <c r="L68" i="6"/>
  <c r="J68" i="6"/>
  <c r="H68" i="6"/>
  <c r="F68" i="6"/>
  <c r="D68" i="6"/>
  <c r="O67" i="6"/>
  <c r="N67" i="6"/>
  <c r="L67" i="6"/>
  <c r="J67" i="6"/>
  <c r="H67" i="6"/>
  <c r="F67" i="6"/>
  <c r="D67" i="6"/>
  <c r="O66" i="6"/>
  <c r="N66" i="6"/>
  <c r="L66" i="6"/>
  <c r="J66" i="6"/>
  <c r="H66" i="6"/>
  <c r="F66" i="6"/>
  <c r="D66" i="6"/>
  <c r="O65" i="6"/>
  <c r="N65" i="6"/>
  <c r="L65" i="6"/>
  <c r="J65" i="6"/>
  <c r="H65" i="6"/>
  <c r="F65" i="6"/>
  <c r="D65" i="6"/>
  <c r="O64" i="6"/>
  <c r="N64" i="6"/>
  <c r="L64" i="6"/>
  <c r="J64" i="6"/>
  <c r="H64" i="6"/>
  <c r="F64" i="6"/>
  <c r="D64" i="6"/>
  <c r="O63" i="6"/>
  <c r="N63" i="6"/>
  <c r="L63" i="6"/>
  <c r="J63" i="6"/>
  <c r="H63" i="6"/>
  <c r="F63" i="6"/>
  <c r="D63" i="6"/>
  <c r="Q62" i="6"/>
  <c r="H62" i="6"/>
  <c r="O61" i="6"/>
  <c r="O60" i="6"/>
  <c r="N60" i="6"/>
  <c r="L60" i="6"/>
  <c r="J60" i="6"/>
  <c r="H60" i="6"/>
  <c r="F60" i="6"/>
  <c r="D60" i="6"/>
  <c r="O59" i="6"/>
  <c r="N59" i="6"/>
  <c r="L59" i="6"/>
  <c r="J59" i="6"/>
  <c r="H59" i="6"/>
  <c r="F59" i="6"/>
  <c r="D59" i="6"/>
  <c r="N54" i="6"/>
  <c r="L54" i="6"/>
  <c r="J54" i="6"/>
  <c r="H54" i="6"/>
  <c r="F54" i="6"/>
  <c r="D54" i="6"/>
  <c r="L53" i="6"/>
  <c r="J53" i="6"/>
  <c r="H53" i="6"/>
  <c r="F53" i="6"/>
  <c r="D53" i="6"/>
  <c r="N52" i="6"/>
  <c r="L52" i="6"/>
  <c r="J52" i="6"/>
  <c r="H52" i="6"/>
  <c r="F52" i="6"/>
  <c r="D52" i="6"/>
  <c r="N51" i="6"/>
  <c r="L51" i="6"/>
  <c r="J51" i="6"/>
  <c r="H51" i="6"/>
  <c r="F51" i="6"/>
  <c r="D51" i="6"/>
  <c r="N50" i="6"/>
  <c r="L50" i="6"/>
  <c r="J50" i="6"/>
  <c r="H50" i="6"/>
  <c r="F50" i="6"/>
  <c r="D50" i="6"/>
  <c r="N49" i="6"/>
  <c r="L49" i="6"/>
  <c r="J49" i="6"/>
  <c r="H49" i="6"/>
  <c r="F49" i="6"/>
  <c r="D49" i="6"/>
  <c r="N48" i="6"/>
  <c r="L48" i="6"/>
  <c r="H48" i="6"/>
  <c r="F48" i="6"/>
  <c r="D48" i="6"/>
  <c r="N47" i="6"/>
  <c r="L47" i="6"/>
  <c r="J47" i="6"/>
  <c r="H47" i="6"/>
  <c r="F47" i="6"/>
  <c r="D47" i="6"/>
  <c r="N46" i="6"/>
  <c r="L46" i="6"/>
  <c r="J46" i="6"/>
  <c r="H46" i="6"/>
  <c r="F46" i="6"/>
  <c r="D46" i="6"/>
  <c r="N45" i="6"/>
  <c r="L45" i="6"/>
  <c r="J45" i="6"/>
  <c r="H45" i="6"/>
  <c r="F45" i="6"/>
  <c r="D45" i="6"/>
  <c r="N44" i="6"/>
  <c r="L44" i="6"/>
  <c r="J44" i="6"/>
  <c r="H44" i="6"/>
  <c r="F44" i="6"/>
  <c r="D44" i="6"/>
  <c r="N43" i="6"/>
  <c r="L43" i="6"/>
  <c r="J43" i="6"/>
  <c r="H43" i="6"/>
  <c r="F43" i="6"/>
  <c r="D43" i="6"/>
  <c r="N42" i="6"/>
  <c r="L42" i="6"/>
  <c r="J42" i="6"/>
  <c r="H42" i="6"/>
  <c r="F42" i="6"/>
  <c r="D42" i="6"/>
  <c r="N41" i="6"/>
  <c r="L41" i="6"/>
  <c r="J41" i="6"/>
  <c r="H41" i="6"/>
  <c r="F41" i="6"/>
  <c r="D41" i="6"/>
  <c r="N40" i="6"/>
  <c r="L40" i="6"/>
  <c r="J40" i="6"/>
  <c r="H40" i="6"/>
  <c r="F40" i="6"/>
  <c r="D40" i="6"/>
  <c r="N39" i="6"/>
  <c r="L39" i="6"/>
  <c r="J39" i="6"/>
  <c r="H39" i="6"/>
  <c r="F39" i="6"/>
  <c r="D39" i="6"/>
  <c r="N38" i="6"/>
  <c r="L38" i="6"/>
  <c r="J38" i="6"/>
  <c r="H38" i="6"/>
  <c r="F38" i="6"/>
  <c r="D38" i="6"/>
  <c r="N37" i="6"/>
  <c r="L37" i="6"/>
  <c r="J37" i="6"/>
  <c r="H37" i="6"/>
  <c r="F37" i="6"/>
  <c r="D37" i="6"/>
  <c r="N36" i="6"/>
  <c r="L36" i="6"/>
  <c r="J36" i="6"/>
  <c r="H36" i="6"/>
  <c r="F36" i="6"/>
  <c r="D36" i="6"/>
  <c r="N35" i="6"/>
  <c r="L35" i="6"/>
  <c r="J35" i="6"/>
  <c r="H35" i="6"/>
  <c r="F35" i="6"/>
  <c r="D35" i="6"/>
  <c r="N34" i="6"/>
  <c r="L34" i="6"/>
  <c r="J34" i="6"/>
  <c r="H34" i="6"/>
  <c r="F34" i="6"/>
  <c r="D34" i="6"/>
  <c r="N33" i="6"/>
  <c r="L33" i="6"/>
  <c r="J33" i="6"/>
  <c r="H33" i="6"/>
  <c r="F33" i="6"/>
  <c r="D33" i="6"/>
  <c r="N32" i="6"/>
  <c r="L32" i="6"/>
  <c r="J32" i="6"/>
  <c r="H32" i="6"/>
  <c r="F32" i="6"/>
  <c r="D32" i="6"/>
  <c r="N31" i="6"/>
  <c r="L31" i="6"/>
  <c r="J31" i="6"/>
  <c r="H31" i="6"/>
  <c r="F31" i="6"/>
  <c r="D31" i="6"/>
  <c r="N30" i="6"/>
  <c r="L30" i="6"/>
  <c r="J30" i="6"/>
  <c r="H30" i="6"/>
  <c r="F30" i="6"/>
  <c r="D30" i="6"/>
  <c r="N29" i="6"/>
  <c r="L29" i="6"/>
  <c r="J29" i="6"/>
  <c r="H29" i="6"/>
  <c r="F29" i="6"/>
  <c r="D29" i="6"/>
  <c r="N28" i="6"/>
  <c r="L28" i="6"/>
  <c r="J28" i="6"/>
  <c r="H28" i="6"/>
  <c r="F28" i="6"/>
  <c r="D28" i="6"/>
  <c r="N27" i="6"/>
  <c r="L27" i="6"/>
  <c r="J27" i="6"/>
  <c r="H27" i="6"/>
  <c r="F27" i="6"/>
  <c r="D27" i="6"/>
  <c r="N26" i="6"/>
  <c r="L26" i="6"/>
  <c r="J26" i="6"/>
  <c r="H26" i="6"/>
  <c r="F26" i="6"/>
  <c r="D26" i="6"/>
  <c r="N25" i="6"/>
  <c r="L25" i="6"/>
  <c r="J25" i="6"/>
  <c r="H25" i="6"/>
  <c r="F25" i="6"/>
  <c r="D25" i="6"/>
  <c r="N24" i="6"/>
  <c r="L24" i="6"/>
  <c r="J24" i="6"/>
  <c r="H24" i="6"/>
  <c r="F24" i="6"/>
  <c r="D24" i="6"/>
  <c r="N23" i="6"/>
  <c r="L23" i="6"/>
  <c r="J23" i="6"/>
  <c r="H23" i="6"/>
  <c r="F23" i="6"/>
  <c r="D23" i="6"/>
  <c r="N22" i="6"/>
  <c r="L22" i="6"/>
  <c r="J22" i="6"/>
  <c r="H22" i="6"/>
  <c r="F22" i="6"/>
  <c r="D22" i="6"/>
  <c r="N21" i="6"/>
  <c r="L21" i="6"/>
  <c r="J21" i="6"/>
  <c r="H21" i="6"/>
  <c r="F21" i="6"/>
  <c r="D21" i="6"/>
  <c r="N20" i="6"/>
  <c r="L20" i="6"/>
  <c r="J20" i="6"/>
  <c r="H20" i="6"/>
  <c r="F20" i="6"/>
  <c r="D20" i="6"/>
  <c r="N19" i="6"/>
  <c r="L19" i="6"/>
  <c r="J19" i="6"/>
  <c r="H19" i="6"/>
  <c r="F19" i="6"/>
  <c r="D19" i="6"/>
  <c r="N18" i="6"/>
  <c r="L18" i="6"/>
  <c r="J18" i="6"/>
  <c r="H18" i="6"/>
  <c r="F18" i="6"/>
  <c r="D18" i="6"/>
  <c r="N17" i="6"/>
  <c r="L17" i="6"/>
  <c r="J17" i="6"/>
  <c r="H17" i="6"/>
  <c r="F17" i="6"/>
  <c r="D17" i="6"/>
  <c r="N16" i="6"/>
  <c r="L16" i="6"/>
  <c r="J16" i="6"/>
  <c r="H16" i="6"/>
  <c r="F16" i="6"/>
  <c r="D16" i="6"/>
  <c r="N15" i="6"/>
  <c r="L15" i="6"/>
  <c r="J15" i="6"/>
  <c r="H15" i="6"/>
  <c r="F15" i="6"/>
  <c r="D15" i="6"/>
  <c r="N14" i="6"/>
  <c r="L14" i="6"/>
  <c r="J14" i="6"/>
  <c r="H14" i="6"/>
  <c r="F14" i="6"/>
  <c r="D14" i="6"/>
  <c r="N13" i="6"/>
  <c r="L13" i="6"/>
  <c r="J13" i="6"/>
  <c r="H13" i="6"/>
  <c r="F13" i="6"/>
  <c r="D13" i="6"/>
  <c r="N12" i="6"/>
  <c r="L12" i="6"/>
  <c r="J12" i="6"/>
  <c r="H12" i="6"/>
  <c r="F12" i="6"/>
  <c r="D12" i="6"/>
  <c r="N11" i="6"/>
  <c r="L11" i="6"/>
  <c r="J11" i="6"/>
  <c r="H11" i="6"/>
  <c r="F11" i="6"/>
  <c r="D11" i="6"/>
  <c r="N10" i="6"/>
  <c r="L10" i="6"/>
  <c r="J10" i="6"/>
  <c r="H10" i="6"/>
  <c r="F10" i="6"/>
  <c r="D10" i="6"/>
  <c r="N9" i="6"/>
  <c r="L9" i="6"/>
  <c r="J9" i="6"/>
  <c r="H9" i="6"/>
  <c r="F9" i="6"/>
  <c r="D9" i="6"/>
  <c r="N8" i="6"/>
  <c r="L8" i="6"/>
  <c r="J8" i="6"/>
  <c r="H8" i="6"/>
  <c r="F8" i="6"/>
  <c r="D8" i="6"/>
  <c r="O66" i="5"/>
  <c r="O64" i="5"/>
  <c r="M63" i="5"/>
  <c r="I63" i="5"/>
  <c r="G63" i="5"/>
  <c r="E63" i="5"/>
  <c r="C63" i="5"/>
  <c r="N61" i="5"/>
  <c r="L61" i="5"/>
  <c r="J61" i="5"/>
  <c r="H61" i="5"/>
  <c r="F61" i="5"/>
  <c r="D61" i="5"/>
  <c r="N60" i="5"/>
  <c r="L60" i="5"/>
  <c r="J60" i="5"/>
  <c r="H60" i="5"/>
  <c r="F60" i="5"/>
  <c r="D60" i="5"/>
  <c r="N59" i="5"/>
  <c r="L59" i="5"/>
  <c r="J59" i="5"/>
  <c r="H59" i="5"/>
  <c r="F59" i="5"/>
  <c r="D59" i="5"/>
  <c r="N58" i="5"/>
  <c r="L58" i="5"/>
  <c r="J58" i="5"/>
  <c r="H58" i="5"/>
  <c r="F58" i="5"/>
  <c r="D58" i="5"/>
  <c r="N57" i="5"/>
  <c r="L57" i="5"/>
  <c r="J57" i="5"/>
  <c r="H57" i="5"/>
  <c r="F57" i="5"/>
  <c r="D57" i="5"/>
  <c r="N56" i="5"/>
  <c r="L56" i="5"/>
  <c r="J56" i="5"/>
  <c r="H56" i="5"/>
  <c r="F56" i="5"/>
  <c r="D56" i="5"/>
  <c r="N55" i="5"/>
  <c r="L55" i="5"/>
  <c r="J55" i="5"/>
  <c r="H55" i="5"/>
  <c r="F55" i="5"/>
  <c r="D55" i="5"/>
  <c r="N54" i="5"/>
  <c r="L54" i="5"/>
  <c r="J54" i="5"/>
  <c r="H54" i="5"/>
  <c r="F54" i="5"/>
  <c r="D54" i="5"/>
  <c r="N53" i="5"/>
  <c r="L53" i="5"/>
  <c r="J53" i="5"/>
  <c r="H53" i="5"/>
  <c r="F53" i="5"/>
  <c r="D53" i="5"/>
  <c r="N52" i="5"/>
  <c r="L52" i="5"/>
  <c r="J52" i="5"/>
  <c r="H52" i="5"/>
  <c r="F52" i="5"/>
  <c r="D52" i="5"/>
  <c r="N51" i="5"/>
  <c r="L51" i="5"/>
  <c r="J51" i="5"/>
  <c r="H51" i="5"/>
  <c r="F51" i="5"/>
  <c r="D51" i="5"/>
  <c r="N50" i="5"/>
  <c r="L50" i="5"/>
  <c r="J50" i="5"/>
  <c r="H50" i="5"/>
  <c r="F50" i="5"/>
  <c r="D50" i="5"/>
  <c r="N49" i="5"/>
  <c r="L49" i="5"/>
  <c r="J49" i="5"/>
  <c r="H49" i="5"/>
  <c r="F49" i="5"/>
  <c r="D49" i="5"/>
  <c r="N48" i="5"/>
  <c r="L48" i="5"/>
  <c r="J48" i="5"/>
  <c r="H48" i="5"/>
  <c r="F48" i="5"/>
  <c r="D48" i="5"/>
  <c r="N47" i="5"/>
  <c r="L47" i="5"/>
  <c r="J47" i="5"/>
  <c r="H47" i="5"/>
  <c r="F47" i="5"/>
  <c r="D47" i="5"/>
  <c r="N46" i="5"/>
  <c r="L46" i="5"/>
  <c r="J46" i="5"/>
  <c r="H46" i="5"/>
  <c r="F46" i="5"/>
  <c r="D46" i="5"/>
  <c r="N45" i="5"/>
  <c r="L45" i="5"/>
  <c r="J45" i="5"/>
  <c r="H45" i="5"/>
  <c r="F45" i="5"/>
  <c r="D45" i="5"/>
  <c r="N44" i="5"/>
  <c r="L44" i="5"/>
  <c r="J44" i="5"/>
  <c r="H44" i="5"/>
  <c r="F44" i="5"/>
  <c r="D44" i="5"/>
  <c r="N43" i="5"/>
  <c r="L43" i="5"/>
  <c r="J43" i="5"/>
  <c r="H43" i="5"/>
  <c r="F43" i="5"/>
  <c r="D43" i="5"/>
  <c r="N42" i="5"/>
  <c r="L42" i="5"/>
  <c r="J42" i="5"/>
  <c r="H42" i="5"/>
  <c r="F42" i="5"/>
  <c r="D42" i="5"/>
  <c r="N41" i="5"/>
  <c r="L41" i="5"/>
  <c r="J41" i="5"/>
  <c r="H41" i="5"/>
  <c r="F41" i="5"/>
  <c r="D41" i="5"/>
  <c r="N40" i="5"/>
  <c r="L40" i="5"/>
  <c r="J40" i="5"/>
  <c r="H40" i="5"/>
  <c r="F40" i="5"/>
  <c r="D40" i="5"/>
  <c r="N39" i="5"/>
  <c r="L39" i="5"/>
  <c r="J39" i="5"/>
  <c r="H39" i="5"/>
  <c r="F39" i="5"/>
  <c r="D39" i="5"/>
  <c r="N38" i="5"/>
  <c r="L38" i="5"/>
  <c r="J38" i="5"/>
  <c r="H38" i="5"/>
  <c r="F38" i="5"/>
  <c r="D38" i="5"/>
  <c r="N37" i="5"/>
  <c r="L37" i="5"/>
  <c r="J37" i="5"/>
  <c r="H37" i="5"/>
  <c r="F37" i="5"/>
  <c r="D37" i="5"/>
  <c r="N36" i="5"/>
  <c r="L36" i="5"/>
  <c r="J36" i="5"/>
  <c r="H36" i="5"/>
  <c r="F36" i="5"/>
  <c r="D36" i="5"/>
  <c r="N35" i="5"/>
  <c r="L35" i="5"/>
  <c r="J35" i="5"/>
  <c r="H35" i="5"/>
  <c r="F35" i="5"/>
  <c r="D35" i="5"/>
  <c r="N34" i="5"/>
  <c r="L34" i="5"/>
  <c r="J34" i="5"/>
  <c r="H34" i="5"/>
  <c r="F34" i="5"/>
  <c r="D34" i="5"/>
  <c r="N33" i="5"/>
  <c r="L33" i="5"/>
  <c r="J33" i="5"/>
  <c r="H33" i="5"/>
  <c r="F33" i="5"/>
  <c r="D33" i="5"/>
  <c r="N32" i="5"/>
  <c r="L32" i="5"/>
  <c r="J32" i="5"/>
  <c r="H32" i="5"/>
  <c r="F32" i="5"/>
  <c r="D32" i="5"/>
  <c r="N31" i="5"/>
  <c r="L31" i="5"/>
  <c r="J31" i="5"/>
  <c r="H31" i="5"/>
  <c r="F31" i="5"/>
  <c r="D31" i="5"/>
  <c r="N30" i="5"/>
  <c r="L30" i="5"/>
  <c r="J30" i="5"/>
  <c r="H30" i="5"/>
  <c r="F30" i="5"/>
  <c r="D30" i="5"/>
  <c r="N29" i="5"/>
  <c r="L29" i="5"/>
  <c r="J29" i="5"/>
  <c r="H29" i="5"/>
  <c r="F29" i="5"/>
  <c r="D29" i="5"/>
  <c r="N28" i="5"/>
  <c r="L28" i="5"/>
  <c r="J28" i="5"/>
  <c r="H28" i="5"/>
  <c r="F28" i="5"/>
  <c r="D28" i="5"/>
  <c r="N27" i="5"/>
  <c r="L27" i="5"/>
  <c r="J27" i="5"/>
  <c r="H27" i="5"/>
  <c r="F27" i="5"/>
  <c r="D27" i="5"/>
  <c r="N26" i="5"/>
  <c r="L26" i="5"/>
  <c r="J26" i="5"/>
  <c r="H26" i="5"/>
  <c r="F26" i="5"/>
  <c r="D26" i="5"/>
  <c r="N25" i="5"/>
  <c r="L25" i="5"/>
  <c r="J25" i="5"/>
  <c r="H25" i="5"/>
  <c r="F25" i="5"/>
  <c r="D25" i="5"/>
  <c r="N24" i="5"/>
  <c r="L24" i="5"/>
  <c r="J24" i="5"/>
  <c r="H24" i="5"/>
  <c r="F24" i="5"/>
  <c r="D24" i="5"/>
  <c r="N23" i="5"/>
  <c r="L23" i="5"/>
  <c r="J23" i="5"/>
  <c r="H23" i="5"/>
  <c r="F23" i="5"/>
  <c r="D23" i="5"/>
  <c r="N22" i="5"/>
  <c r="L22" i="5"/>
  <c r="J22" i="5"/>
  <c r="H22" i="5"/>
  <c r="F22" i="5"/>
  <c r="D22" i="5"/>
  <c r="N21" i="5"/>
  <c r="L21" i="5"/>
  <c r="J21" i="5"/>
  <c r="H21" i="5"/>
  <c r="F21" i="5"/>
  <c r="D21" i="5"/>
  <c r="N20" i="5"/>
  <c r="L20" i="5"/>
  <c r="J20" i="5"/>
  <c r="H20" i="5"/>
  <c r="F20" i="5"/>
  <c r="D20" i="5"/>
  <c r="N19" i="5"/>
  <c r="L19" i="5"/>
  <c r="J19" i="5"/>
  <c r="H19" i="5"/>
  <c r="F19" i="5"/>
  <c r="D19" i="5"/>
  <c r="N18" i="5"/>
  <c r="L18" i="5"/>
  <c r="J18" i="5"/>
  <c r="H18" i="5"/>
  <c r="F18" i="5"/>
  <c r="D18" i="5"/>
  <c r="N17" i="5"/>
  <c r="L17" i="5"/>
  <c r="J17" i="5"/>
  <c r="H17" i="5"/>
  <c r="F17" i="5"/>
  <c r="D17" i="5"/>
  <c r="N16" i="5"/>
  <c r="L16" i="5"/>
  <c r="J16" i="5"/>
  <c r="H16" i="5"/>
  <c r="F16" i="5"/>
  <c r="D16" i="5"/>
  <c r="N15" i="5"/>
  <c r="L15" i="5"/>
  <c r="J15" i="5"/>
  <c r="H15" i="5"/>
  <c r="F15" i="5"/>
  <c r="D15" i="5"/>
  <c r="N14" i="5"/>
  <c r="L14" i="5"/>
  <c r="J14" i="5"/>
  <c r="H14" i="5"/>
  <c r="F14" i="5"/>
  <c r="D14" i="5"/>
  <c r="N13" i="5"/>
  <c r="L13" i="5"/>
  <c r="J13" i="5"/>
  <c r="H13" i="5"/>
  <c r="F13" i="5"/>
  <c r="D13" i="5"/>
  <c r="N12" i="5"/>
  <c r="L12" i="5"/>
  <c r="J12" i="5"/>
  <c r="H12" i="5"/>
  <c r="F12" i="5"/>
  <c r="D12" i="5"/>
  <c r="N11" i="5"/>
  <c r="L11" i="5"/>
  <c r="J11" i="5"/>
  <c r="H11" i="5"/>
  <c r="F11" i="5"/>
  <c r="D11" i="5"/>
  <c r="N10" i="5"/>
  <c r="L10" i="5"/>
  <c r="J10" i="5"/>
  <c r="H10" i="5"/>
  <c r="F10" i="5"/>
  <c r="D10" i="5"/>
  <c r="N9" i="5"/>
  <c r="L9" i="5"/>
  <c r="J9" i="5"/>
  <c r="H9" i="5"/>
  <c r="F9" i="5"/>
  <c r="D9" i="5"/>
  <c r="N8" i="5"/>
  <c r="L8" i="5"/>
  <c r="J8" i="5"/>
  <c r="H8" i="5"/>
  <c r="F8" i="5"/>
  <c r="D8" i="5"/>
  <c r="V57" i="3"/>
  <c r="V55" i="3"/>
  <c r="T54" i="3"/>
  <c r="R54" i="3"/>
  <c r="P54" i="3"/>
  <c r="N54" i="3"/>
  <c r="L54" i="3"/>
  <c r="C54" i="3"/>
  <c r="O52" i="3"/>
  <c r="M52" i="3"/>
  <c r="K52" i="3"/>
  <c r="Q51" i="3"/>
  <c r="O51" i="3"/>
  <c r="M51" i="3"/>
  <c r="K51" i="3"/>
  <c r="U50" i="3"/>
  <c r="S50" i="3"/>
  <c r="Q50" i="3"/>
  <c r="O50" i="3"/>
  <c r="M50" i="3"/>
  <c r="K50" i="3"/>
  <c r="W49" i="3"/>
  <c r="U49" i="3"/>
  <c r="S49" i="3"/>
  <c r="Q49" i="3"/>
  <c r="O49" i="3"/>
  <c r="M49" i="3"/>
  <c r="K49" i="3"/>
  <c r="U48" i="3"/>
  <c r="S48" i="3"/>
  <c r="Q48" i="3"/>
  <c r="O48" i="3"/>
  <c r="M48" i="3"/>
  <c r="K48" i="3"/>
  <c r="U47" i="3"/>
  <c r="S47" i="3"/>
  <c r="Q47" i="3"/>
  <c r="O47" i="3"/>
  <c r="M47" i="3"/>
  <c r="K47" i="3"/>
  <c r="U46" i="3"/>
  <c r="S46" i="3"/>
  <c r="Q46" i="3"/>
  <c r="O46" i="3"/>
  <c r="M46" i="3"/>
  <c r="K46" i="3"/>
  <c r="U45" i="3"/>
  <c r="S45" i="3"/>
  <c r="Q45" i="3"/>
  <c r="O45" i="3"/>
  <c r="M45" i="3"/>
  <c r="K45" i="3"/>
  <c r="U44" i="3"/>
  <c r="S44" i="3"/>
  <c r="Q44" i="3"/>
  <c r="O44" i="3"/>
  <c r="M44" i="3"/>
  <c r="K44" i="3"/>
  <c r="U43" i="3"/>
  <c r="S43" i="3"/>
  <c r="Q43" i="3"/>
  <c r="O43" i="3"/>
  <c r="M43" i="3"/>
  <c r="K43" i="3"/>
  <c r="U42" i="3"/>
  <c r="S42" i="3"/>
  <c r="Q42" i="3"/>
  <c r="O42" i="3"/>
  <c r="M42" i="3"/>
  <c r="K42" i="3"/>
  <c r="U41" i="3"/>
  <c r="S41" i="3"/>
  <c r="Q41" i="3"/>
  <c r="O41" i="3"/>
  <c r="M41" i="3"/>
  <c r="K41" i="3"/>
  <c r="U40" i="3"/>
  <c r="S40" i="3"/>
  <c r="Q40" i="3"/>
  <c r="O40" i="3"/>
  <c r="M40" i="3"/>
  <c r="K40" i="3"/>
  <c r="U39" i="3"/>
  <c r="S39" i="3"/>
  <c r="Q39" i="3"/>
  <c r="O39" i="3"/>
  <c r="M39" i="3"/>
  <c r="K39" i="3"/>
  <c r="U38" i="3"/>
  <c r="S38" i="3"/>
  <c r="Q38" i="3"/>
  <c r="O38" i="3"/>
  <c r="M38" i="3"/>
  <c r="K38" i="3"/>
  <c r="U37" i="3"/>
  <c r="S37" i="3"/>
  <c r="Q37" i="3"/>
  <c r="O37" i="3"/>
  <c r="M37" i="3"/>
  <c r="K37" i="3"/>
  <c r="U36" i="3"/>
  <c r="S36" i="3"/>
  <c r="Q36" i="3"/>
  <c r="O36" i="3"/>
  <c r="M36" i="3"/>
  <c r="K36" i="3"/>
  <c r="U35" i="3"/>
  <c r="S35" i="3"/>
  <c r="Q35" i="3"/>
  <c r="O35" i="3"/>
  <c r="M35" i="3"/>
  <c r="K35" i="3"/>
  <c r="U34" i="3"/>
  <c r="S34" i="3"/>
  <c r="Q34" i="3"/>
  <c r="O34" i="3"/>
  <c r="M34" i="3"/>
  <c r="K34" i="3"/>
  <c r="U33" i="3"/>
  <c r="S33" i="3"/>
  <c r="Q33" i="3"/>
  <c r="O33" i="3"/>
  <c r="M33" i="3"/>
  <c r="K33" i="3"/>
  <c r="U32" i="3"/>
  <c r="S32" i="3"/>
  <c r="Q32" i="3"/>
  <c r="O32" i="3"/>
  <c r="M32" i="3"/>
  <c r="K32" i="3"/>
  <c r="U31" i="3"/>
  <c r="S31" i="3"/>
  <c r="Q31" i="3"/>
  <c r="O31" i="3"/>
  <c r="M31" i="3"/>
  <c r="K31" i="3"/>
  <c r="U30" i="3"/>
  <c r="S30" i="3"/>
  <c r="Q30" i="3"/>
  <c r="O30" i="3"/>
  <c r="M30" i="3"/>
  <c r="K30" i="3"/>
  <c r="U29" i="3"/>
  <c r="S29" i="3"/>
  <c r="Q29" i="3"/>
  <c r="O29" i="3"/>
  <c r="M29" i="3"/>
  <c r="K29" i="3"/>
  <c r="U28" i="3"/>
  <c r="S28" i="3"/>
  <c r="Q28" i="3"/>
  <c r="O28" i="3"/>
  <c r="M28" i="3"/>
  <c r="K28" i="3"/>
  <c r="U27" i="3"/>
  <c r="S27" i="3"/>
  <c r="Q27" i="3"/>
  <c r="O27" i="3"/>
  <c r="M27" i="3"/>
  <c r="K27" i="3"/>
  <c r="U26" i="3"/>
  <c r="S26" i="3"/>
  <c r="Q26" i="3"/>
  <c r="O26" i="3"/>
  <c r="M26" i="3"/>
  <c r="K26" i="3"/>
  <c r="U25" i="3"/>
  <c r="S25" i="3"/>
  <c r="Q25" i="3"/>
  <c r="O25" i="3"/>
  <c r="M25" i="3"/>
  <c r="K25" i="3"/>
  <c r="U24" i="3"/>
  <c r="S24" i="3"/>
  <c r="Q24" i="3"/>
  <c r="O24" i="3"/>
  <c r="M24" i="3"/>
  <c r="K24" i="3"/>
  <c r="U23" i="3"/>
  <c r="S23" i="3"/>
  <c r="Q23" i="3"/>
  <c r="O23" i="3"/>
  <c r="M23" i="3"/>
  <c r="K23" i="3"/>
  <c r="U22" i="3"/>
  <c r="S22" i="3"/>
  <c r="Q22" i="3"/>
  <c r="O22" i="3"/>
  <c r="M22" i="3"/>
  <c r="K22" i="3"/>
  <c r="U21" i="3"/>
  <c r="S21" i="3"/>
  <c r="Q21" i="3"/>
  <c r="O21" i="3"/>
  <c r="M21" i="3"/>
  <c r="K21" i="3"/>
  <c r="U20" i="3"/>
  <c r="S20" i="3"/>
  <c r="Q20" i="3"/>
  <c r="O20" i="3"/>
  <c r="M20" i="3"/>
  <c r="K20" i="3"/>
  <c r="U19" i="3"/>
  <c r="S19" i="3"/>
  <c r="Q19" i="3"/>
  <c r="O19" i="3"/>
  <c r="M19" i="3"/>
  <c r="K19" i="3"/>
  <c r="U18" i="3"/>
  <c r="S18" i="3"/>
  <c r="Q18" i="3"/>
  <c r="O18" i="3"/>
  <c r="M18" i="3"/>
  <c r="K18" i="3"/>
  <c r="U17" i="3"/>
  <c r="S17" i="3"/>
  <c r="Q17" i="3"/>
  <c r="O17" i="3"/>
  <c r="M17" i="3"/>
  <c r="K17" i="3"/>
  <c r="U16" i="3"/>
  <c r="S16" i="3"/>
  <c r="Q16" i="3"/>
  <c r="O16" i="3"/>
  <c r="M16" i="3"/>
  <c r="K16" i="3"/>
  <c r="U15" i="3"/>
  <c r="S15" i="3"/>
  <c r="Q15" i="3"/>
  <c r="O15" i="3"/>
  <c r="M15" i="3"/>
  <c r="K15" i="3"/>
  <c r="U14" i="3"/>
  <c r="S14" i="3"/>
  <c r="Q14" i="3"/>
  <c r="O14" i="3"/>
  <c r="M14" i="3"/>
  <c r="K14" i="3"/>
  <c r="U13" i="3"/>
  <c r="S13" i="3"/>
  <c r="Q13" i="3"/>
  <c r="O13" i="3"/>
  <c r="M13" i="3"/>
  <c r="K13" i="3"/>
  <c r="U12" i="3"/>
  <c r="S12" i="3"/>
  <c r="Q12" i="3"/>
  <c r="O12" i="3"/>
  <c r="M12" i="3"/>
  <c r="K12" i="3"/>
  <c r="U11" i="3"/>
  <c r="S11" i="3"/>
  <c r="Q11" i="3"/>
  <c r="O11" i="3"/>
  <c r="M11" i="3"/>
  <c r="K11" i="3"/>
  <c r="U10" i="3"/>
  <c r="S10" i="3"/>
  <c r="Q10" i="3"/>
  <c r="O10" i="3"/>
  <c r="M10" i="3"/>
  <c r="K10" i="3"/>
  <c r="U9" i="3"/>
  <c r="S9" i="3"/>
  <c r="Q9" i="3"/>
  <c r="O9" i="3"/>
  <c r="M9" i="3"/>
  <c r="K9" i="3"/>
  <c r="U8" i="3"/>
  <c r="S8" i="3"/>
  <c r="Q8" i="3"/>
  <c r="O8" i="3"/>
  <c r="M8" i="3"/>
  <c r="K8" i="3"/>
  <c r="P62" i="2"/>
  <c r="P59" i="2"/>
  <c r="O59" i="2"/>
  <c r="L59" i="2"/>
  <c r="J59" i="2"/>
  <c r="H59" i="2"/>
  <c r="F59" i="2"/>
  <c r="D59" i="2"/>
  <c r="H58" i="2"/>
  <c r="F58" i="2"/>
  <c r="D58" i="2"/>
  <c r="Q57" i="2"/>
  <c r="H57" i="2"/>
  <c r="F57" i="2"/>
  <c r="D57" i="2"/>
  <c r="Q56" i="2"/>
  <c r="H56" i="2"/>
  <c r="F56" i="2"/>
  <c r="D56" i="2"/>
  <c r="Q55" i="2"/>
  <c r="H55" i="2"/>
  <c r="F55" i="2"/>
  <c r="D55" i="2"/>
  <c r="Q54" i="2"/>
  <c r="L54" i="2"/>
  <c r="H54" i="2"/>
  <c r="F54" i="2"/>
  <c r="D54" i="2"/>
  <c r="Q53" i="2"/>
  <c r="O52" i="2"/>
  <c r="L52" i="2"/>
  <c r="J52" i="2"/>
  <c r="H52" i="2"/>
  <c r="F52" i="2"/>
  <c r="D52" i="2"/>
  <c r="O51" i="2"/>
  <c r="L51" i="2"/>
  <c r="J51" i="2"/>
  <c r="H51" i="2"/>
  <c r="F51" i="2"/>
  <c r="D51" i="2"/>
  <c r="O50" i="2"/>
  <c r="L50" i="2"/>
  <c r="J50" i="2"/>
  <c r="H50" i="2"/>
  <c r="F50" i="2"/>
  <c r="D50" i="2"/>
  <c r="O49" i="2"/>
  <c r="L49" i="2"/>
  <c r="J49" i="2"/>
  <c r="H49" i="2"/>
  <c r="F49" i="2"/>
  <c r="D49" i="2"/>
  <c r="O48" i="2"/>
  <c r="L48" i="2"/>
  <c r="J48" i="2"/>
  <c r="H48" i="2"/>
  <c r="F48" i="2"/>
  <c r="D48" i="2"/>
  <c r="O47" i="2"/>
  <c r="L47" i="2"/>
  <c r="J47" i="2"/>
  <c r="H47" i="2"/>
  <c r="F47" i="2"/>
  <c r="D47" i="2"/>
  <c r="O46" i="2"/>
  <c r="L46" i="2"/>
  <c r="J46" i="2"/>
  <c r="H46" i="2"/>
  <c r="F46" i="2"/>
  <c r="D46" i="2"/>
  <c r="O45" i="2"/>
  <c r="L45" i="2"/>
  <c r="J45" i="2"/>
  <c r="H45" i="2"/>
  <c r="F45" i="2"/>
  <c r="D45" i="2"/>
  <c r="L44" i="2"/>
  <c r="J44" i="2"/>
  <c r="H44" i="2"/>
  <c r="F44" i="2"/>
  <c r="D44" i="2"/>
  <c r="O43" i="2"/>
  <c r="L43" i="2"/>
  <c r="J43" i="2"/>
  <c r="H43" i="2"/>
  <c r="F43" i="2"/>
  <c r="D43" i="2"/>
  <c r="O42" i="2"/>
  <c r="L42" i="2"/>
  <c r="J42" i="2"/>
  <c r="H42" i="2"/>
  <c r="F42" i="2"/>
  <c r="D42" i="2"/>
  <c r="O41" i="2"/>
  <c r="L41" i="2"/>
  <c r="J41" i="2"/>
  <c r="H41" i="2"/>
  <c r="F41" i="2"/>
  <c r="D41" i="2"/>
  <c r="L40" i="2"/>
  <c r="J40" i="2"/>
  <c r="H40" i="2"/>
  <c r="F40" i="2"/>
  <c r="D40" i="2"/>
  <c r="O39" i="2"/>
  <c r="L39" i="2"/>
  <c r="J39" i="2"/>
  <c r="H39" i="2"/>
  <c r="F39" i="2"/>
  <c r="D39" i="2"/>
  <c r="O38" i="2"/>
  <c r="L38" i="2"/>
  <c r="J38" i="2"/>
  <c r="H38" i="2"/>
  <c r="F38" i="2"/>
  <c r="D38" i="2"/>
  <c r="O37" i="2"/>
  <c r="L37" i="2"/>
  <c r="J37" i="2"/>
  <c r="H37" i="2"/>
  <c r="F37" i="2"/>
  <c r="D37" i="2"/>
  <c r="O36" i="2"/>
  <c r="L36" i="2"/>
  <c r="J36" i="2"/>
  <c r="H36" i="2"/>
  <c r="F36" i="2"/>
  <c r="D36" i="2"/>
  <c r="O35" i="2"/>
  <c r="L35" i="2"/>
  <c r="J35" i="2"/>
  <c r="H35" i="2"/>
  <c r="F35" i="2"/>
  <c r="D35" i="2"/>
  <c r="O34" i="2"/>
  <c r="L34" i="2"/>
  <c r="J34" i="2"/>
  <c r="H34" i="2"/>
  <c r="F34" i="2"/>
  <c r="D34" i="2"/>
  <c r="O33" i="2"/>
  <c r="L33" i="2"/>
  <c r="J33" i="2"/>
  <c r="H33" i="2"/>
  <c r="F33" i="2"/>
  <c r="D33" i="2"/>
  <c r="O32" i="2"/>
  <c r="L32" i="2"/>
  <c r="J32" i="2"/>
  <c r="H32" i="2"/>
  <c r="F32" i="2"/>
  <c r="D32" i="2"/>
  <c r="O31" i="2"/>
  <c r="L31" i="2"/>
  <c r="J31" i="2"/>
  <c r="H31" i="2"/>
  <c r="F31" i="2"/>
  <c r="D31" i="2"/>
  <c r="O30" i="2"/>
  <c r="L30" i="2"/>
  <c r="J30" i="2"/>
  <c r="H30" i="2"/>
  <c r="F30" i="2"/>
  <c r="D30" i="2"/>
  <c r="O29" i="2"/>
  <c r="L29" i="2"/>
  <c r="J29" i="2"/>
  <c r="H29" i="2"/>
  <c r="F29" i="2"/>
  <c r="D29" i="2"/>
  <c r="O28" i="2"/>
  <c r="L28" i="2"/>
  <c r="J28" i="2"/>
  <c r="H28" i="2"/>
  <c r="F28" i="2"/>
  <c r="D28" i="2"/>
  <c r="O27" i="2"/>
  <c r="L27" i="2"/>
  <c r="J27" i="2"/>
  <c r="H27" i="2"/>
  <c r="F27" i="2"/>
  <c r="D27" i="2"/>
  <c r="O26" i="2"/>
  <c r="L26" i="2"/>
  <c r="J26" i="2"/>
  <c r="H26" i="2"/>
  <c r="F26" i="2"/>
  <c r="D26" i="2"/>
  <c r="O25" i="2"/>
  <c r="L25" i="2"/>
  <c r="J25" i="2"/>
  <c r="H25" i="2"/>
  <c r="F25" i="2"/>
  <c r="D25" i="2"/>
  <c r="O24" i="2"/>
  <c r="L24" i="2"/>
  <c r="J24" i="2"/>
  <c r="H24" i="2"/>
  <c r="F24" i="2"/>
  <c r="D24" i="2"/>
  <c r="O23" i="2"/>
  <c r="L23" i="2"/>
  <c r="J23" i="2"/>
  <c r="H23" i="2"/>
  <c r="F23" i="2"/>
  <c r="D23" i="2"/>
  <c r="O22" i="2"/>
  <c r="L22" i="2"/>
  <c r="J22" i="2"/>
  <c r="H22" i="2"/>
  <c r="F22" i="2"/>
  <c r="D22" i="2"/>
  <c r="O21" i="2"/>
  <c r="L21" i="2"/>
  <c r="J21" i="2"/>
  <c r="H21" i="2"/>
  <c r="F21" i="2"/>
  <c r="D21" i="2"/>
  <c r="O20" i="2"/>
  <c r="L20" i="2"/>
  <c r="J20" i="2"/>
  <c r="H20" i="2"/>
  <c r="F20" i="2"/>
  <c r="D20" i="2"/>
  <c r="O19" i="2"/>
  <c r="L19" i="2"/>
  <c r="J19" i="2"/>
  <c r="H19" i="2"/>
  <c r="F19" i="2"/>
  <c r="D19" i="2"/>
  <c r="O18" i="2"/>
  <c r="L18" i="2"/>
  <c r="J18" i="2"/>
  <c r="H18" i="2"/>
  <c r="F18" i="2"/>
  <c r="D18" i="2"/>
  <c r="O17" i="2"/>
  <c r="L17" i="2"/>
  <c r="J17" i="2"/>
  <c r="H17" i="2"/>
  <c r="F17" i="2"/>
  <c r="D17" i="2"/>
  <c r="O16" i="2"/>
  <c r="L16" i="2"/>
  <c r="J16" i="2"/>
  <c r="H16" i="2"/>
  <c r="F16" i="2"/>
  <c r="D16" i="2"/>
  <c r="O15" i="2"/>
  <c r="L15" i="2"/>
  <c r="J15" i="2"/>
  <c r="H15" i="2"/>
  <c r="F15" i="2"/>
  <c r="D15" i="2"/>
  <c r="O14" i="2"/>
  <c r="L14" i="2"/>
  <c r="J14" i="2"/>
  <c r="H14" i="2"/>
  <c r="F14" i="2"/>
  <c r="D14" i="2"/>
  <c r="O13" i="2"/>
  <c r="L13" i="2"/>
  <c r="J13" i="2"/>
  <c r="H13" i="2"/>
  <c r="F13" i="2"/>
  <c r="D13" i="2"/>
  <c r="O12" i="2"/>
  <c r="L12" i="2"/>
  <c r="J12" i="2"/>
  <c r="H12" i="2"/>
  <c r="F12" i="2"/>
  <c r="D12" i="2"/>
  <c r="O11" i="2"/>
  <c r="L11" i="2"/>
  <c r="J11" i="2"/>
  <c r="H11" i="2"/>
  <c r="F11" i="2"/>
  <c r="D11" i="2"/>
  <c r="O10" i="2"/>
  <c r="L10" i="2"/>
  <c r="J10" i="2"/>
  <c r="H10" i="2"/>
  <c r="F10" i="2"/>
  <c r="D10" i="2"/>
  <c r="O9" i="2"/>
  <c r="L9" i="2"/>
  <c r="J9" i="2"/>
  <c r="H9" i="2"/>
  <c r="F9" i="2"/>
  <c r="D9" i="2"/>
  <c r="O8" i="2"/>
  <c r="L8" i="2"/>
  <c r="J8" i="2"/>
  <c r="H8" i="2"/>
  <c r="F8" i="2"/>
  <c r="D8" i="2"/>
  <c r="Q68" i="1"/>
  <c r="O58" i="1"/>
  <c r="M57" i="1"/>
  <c r="K57" i="1"/>
  <c r="I57" i="1"/>
  <c r="E57" i="1"/>
  <c r="C57" i="1"/>
  <c r="P56" i="1"/>
  <c r="O56" i="1"/>
  <c r="P55" i="1"/>
  <c r="N55" i="1"/>
  <c r="L55" i="1"/>
  <c r="J55" i="1"/>
  <c r="H55" i="1"/>
  <c r="F55" i="1"/>
  <c r="D55" i="1"/>
  <c r="P54" i="1"/>
  <c r="N54" i="1"/>
  <c r="J54" i="1"/>
  <c r="F54" i="1"/>
  <c r="D54" i="1"/>
  <c r="N53" i="1"/>
  <c r="L53" i="1"/>
  <c r="J53" i="1"/>
  <c r="H53" i="1"/>
  <c r="F53" i="1"/>
  <c r="D53" i="1"/>
  <c r="N52" i="1"/>
  <c r="L52" i="1"/>
  <c r="J52" i="1"/>
  <c r="H52" i="1"/>
  <c r="F52" i="1"/>
  <c r="D52" i="1"/>
  <c r="N51" i="1"/>
  <c r="L51" i="1"/>
  <c r="J51" i="1"/>
  <c r="H51" i="1"/>
  <c r="F51" i="1"/>
  <c r="D51" i="1"/>
  <c r="N50" i="1"/>
  <c r="L50" i="1"/>
  <c r="J50" i="1"/>
  <c r="H50" i="1"/>
  <c r="F50" i="1"/>
  <c r="D50" i="1"/>
  <c r="N49" i="1"/>
  <c r="L49" i="1"/>
  <c r="J49" i="1"/>
  <c r="H49" i="1"/>
  <c r="F49" i="1"/>
  <c r="D49" i="1"/>
  <c r="N48" i="1"/>
  <c r="L48" i="1"/>
  <c r="J48" i="1"/>
  <c r="H48" i="1"/>
  <c r="F48" i="1"/>
  <c r="D48" i="1"/>
  <c r="N47" i="1"/>
  <c r="L47" i="1"/>
  <c r="J47" i="1"/>
  <c r="H47" i="1"/>
  <c r="F47" i="1"/>
  <c r="D47" i="1"/>
  <c r="N46" i="1"/>
  <c r="L46" i="1"/>
  <c r="J46" i="1"/>
  <c r="H46" i="1"/>
  <c r="F46" i="1"/>
  <c r="D46" i="1"/>
  <c r="N45" i="1"/>
  <c r="L45" i="1"/>
  <c r="J45" i="1"/>
  <c r="H45" i="1"/>
  <c r="F45" i="1"/>
  <c r="D45" i="1"/>
  <c r="N44" i="1"/>
  <c r="L44" i="1"/>
  <c r="J44" i="1"/>
  <c r="H44" i="1"/>
  <c r="F44" i="1"/>
  <c r="D44" i="1"/>
  <c r="L43" i="1"/>
  <c r="J43" i="1"/>
  <c r="H43" i="1"/>
  <c r="N42" i="1"/>
  <c r="L42" i="1"/>
  <c r="J42" i="1"/>
  <c r="H42" i="1"/>
  <c r="F42" i="1"/>
  <c r="D42" i="1"/>
  <c r="N41" i="1"/>
  <c r="L41" i="1"/>
  <c r="J41" i="1"/>
  <c r="H41" i="1"/>
  <c r="F41" i="1"/>
  <c r="D41" i="1"/>
  <c r="N40" i="1"/>
  <c r="L40" i="1"/>
  <c r="J40" i="1"/>
  <c r="H40" i="1"/>
  <c r="F40" i="1"/>
  <c r="D40" i="1"/>
  <c r="N39" i="1"/>
  <c r="L39" i="1"/>
  <c r="J39" i="1"/>
  <c r="H39" i="1"/>
  <c r="F39" i="1"/>
  <c r="D39" i="1"/>
  <c r="N38" i="1"/>
  <c r="L38" i="1"/>
  <c r="J38" i="1"/>
  <c r="H38" i="1"/>
  <c r="F38" i="1"/>
  <c r="D38" i="1"/>
  <c r="N37" i="1"/>
  <c r="L37" i="1"/>
  <c r="J37" i="1"/>
  <c r="H37" i="1"/>
  <c r="F37" i="1"/>
  <c r="D37" i="1"/>
  <c r="N36" i="1"/>
  <c r="L36" i="1"/>
  <c r="J36" i="1"/>
  <c r="H36" i="1"/>
  <c r="F36" i="1"/>
  <c r="D36" i="1"/>
  <c r="N35" i="1"/>
  <c r="L35" i="1"/>
  <c r="J35" i="1"/>
  <c r="H35" i="1"/>
  <c r="F35" i="1"/>
  <c r="D35" i="1"/>
  <c r="N34" i="1"/>
  <c r="L34" i="1"/>
  <c r="J34" i="1"/>
  <c r="H34" i="1"/>
  <c r="F34" i="1"/>
  <c r="D34" i="1"/>
  <c r="N33" i="1"/>
  <c r="L33" i="1"/>
  <c r="J33" i="1"/>
  <c r="H33" i="1"/>
  <c r="F33" i="1"/>
  <c r="D33" i="1"/>
  <c r="N32" i="1"/>
  <c r="L32" i="1"/>
  <c r="J32" i="1"/>
  <c r="H32" i="1"/>
  <c r="F32" i="1"/>
  <c r="D32" i="1"/>
  <c r="N31" i="1"/>
  <c r="L31" i="1"/>
  <c r="J31" i="1"/>
  <c r="H31" i="1"/>
  <c r="F31" i="1"/>
  <c r="D31" i="1"/>
  <c r="N30" i="1"/>
  <c r="L30" i="1"/>
  <c r="J30" i="1"/>
  <c r="H30" i="1"/>
  <c r="F30" i="1"/>
  <c r="D30" i="1"/>
  <c r="N29" i="1"/>
  <c r="L29" i="1"/>
  <c r="J29" i="1"/>
  <c r="H29" i="1"/>
  <c r="F29" i="1"/>
  <c r="D29" i="1"/>
  <c r="N28" i="1"/>
  <c r="L28" i="1"/>
  <c r="J28" i="1"/>
  <c r="H28" i="1"/>
  <c r="F28" i="1"/>
  <c r="D28" i="1"/>
  <c r="N27" i="1"/>
  <c r="L27" i="1"/>
  <c r="J27" i="1"/>
  <c r="H27" i="1"/>
  <c r="F27" i="1"/>
  <c r="D27" i="1"/>
  <c r="N26" i="1"/>
  <c r="L26" i="1"/>
  <c r="J26" i="1"/>
  <c r="H26" i="1"/>
  <c r="F26" i="1"/>
  <c r="D26" i="1"/>
  <c r="N25" i="1"/>
  <c r="L25" i="1"/>
  <c r="J25" i="1"/>
  <c r="H25" i="1"/>
  <c r="F25" i="1"/>
  <c r="D25" i="1"/>
  <c r="N24" i="1"/>
  <c r="L24" i="1"/>
  <c r="J24" i="1"/>
  <c r="H24" i="1"/>
  <c r="F24" i="1"/>
  <c r="D24" i="1"/>
  <c r="N23" i="1"/>
  <c r="L23" i="1"/>
  <c r="J23" i="1"/>
  <c r="H23" i="1"/>
  <c r="F23" i="1"/>
  <c r="D23" i="1"/>
  <c r="N22" i="1"/>
  <c r="L22" i="1"/>
  <c r="J22" i="1"/>
  <c r="H22" i="1"/>
  <c r="F22" i="1"/>
  <c r="D22" i="1"/>
  <c r="N21" i="1"/>
  <c r="L21" i="1"/>
  <c r="J21" i="1"/>
  <c r="H21" i="1"/>
  <c r="F21" i="1"/>
  <c r="D21" i="1"/>
  <c r="N20" i="1"/>
  <c r="L20" i="1"/>
  <c r="J20" i="1"/>
  <c r="H20" i="1"/>
  <c r="F20" i="1"/>
  <c r="D20" i="1"/>
  <c r="N19" i="1"/>
  <c r="L19" i="1"/>
  <c r="J19" i="1"/>
  <c r="H19" i="1"/>
  <c r="F19" i="1"/>
  <c r="D19" i="1"/>
  <c r="N18" i="1"/>
  <c r="L18" i="1"/>
  <c r="J18" i="1"/>
  <c r="H18" i="1"/>
  <c r="F18" i="1"/>
  <c r="D18" i="1"/>
  <c r="N17" i="1"/>
  <c r="L17" i="1"/>
  <c r="J17" i="1"/>
  <c r="H17" i="1"/>
  <c r="F17" i="1"/>
  <c r="D17" i="1"/>
  <c r="N16" i="1"/>
  <c r="L16" i="1"/>
  <c r="J16" i="1"/>
  <c r="H16" i="1"/>
  <c r="F16" i="1"/>
  <c r="D16" i="1"/>
  <c r="N15" i="1"/>
  <c r="L15" i="1"/>
  <c r="J15" i="1"/>
  <c r="H15" i="1"/>
  <c r="F15" i="1"/>
  <c r="D15" i="1"/>
  <c r="N14" i="1"/>
  <c r="L14" i="1"/>
  <c r="J14" i="1"/>
  <c r="H14" i="1"/>
  <c r="F14" i="1"/>
  <c r="D14" i="1"/>
  <c r="N13" i="1"/>
  <c r="L13" i="1"/>
  <c r="J13" i="1"/>
  <c r="H13" i="1"/>
  <c r="F13" i="1"/>
  <c r="D13" i="1"/>
  <c r="N12" i="1"/>
  <c r="L12" i="1"/>
  <c r="J12" i="1"/>
  <c r="H12" i="1"/>
  <c r="F12" i="1"/>
  <c r="D12" i="1"/>
  <c r="N11" i="1"/>
  <c r="L11" i="1"/>
  <c r="J11" i="1"/>
  <c r="H11" i="1"/>
  <c r="F11" i="1"/>
  <c r="D11" i="1"/>
  <c r="N10" i="1"/>
  <c r="L10" i="1"/>
  <c r="J10" i="1"/>
  <c r="H10" i="1"/>
  <c r="F10" i="1"/>
  <c r="D10" i="1"/>
  <c r="N9" i="1"/>
  <c r="L9" i="1"/>
  <c r="J9" i="1"/>
  <c r="H9" i="1"/>
  <c r="F9" i="1"/>
  <c r="D9" i="1"/>
  <c r="N8" i="1"/>
  <c r="L8" i="1"/>
  <c r="J8" i="1"/>
  <c r="H8" i="1"/>
  <c r="F8" i="1"/>
  <c r="D8" i="1"/>
  <c r="O59" i="20" l="1"/>
  <c r="M59" i="20"/>
  <c r="K59" i="20"/>
  <c r="I59" i="20"/>
  <c r="G59" i="20"/>
  <c r="C59" i="20"/>
  <c r="O58" i="20"/>
  <c r="M58" i="20"/>
  <c r="K58" i="20"/>
  <c r="I58" i="20"/>
  <c r="G58" i="20"/>
  <c r="C58" i="20"/>
  <c r="O57" i="20"/>
  <c r="M57" i="20"/>
  <c r="K57" i="20"/>
  <c r="I57" i="20"/>
  <c r="G57" i="20"/>
  <c r="C57" i="20"/>
  <c r="O56" i="20"/>
  <c r="M56" i="20"/>
  <c r="K56" i="20"/>
  <c r="I56" i="20"/>
  <c r="G56" i="20"/>
  <c r="C56" i="20"/>
  <c r="O55" i="20"/>
  <c r="M55" i="20"/>
  <c r="K55" i="20"/>
  <c r="I55" i="20"/>
  <c r="G55" i="20"/>
  <c r="C55" i="20"/>
  <c r="O54" i="20"/>
  <c r="M54" i="20"/>
  <c r="K54" i="20"/>
  <c r="I54" i="20"/>
  <c r="G54" i="20"/>
  <c r="C54" i="20"/>
  <c r="O51" i="20"/>
  <c r="O52" i="20" s="1"/>
  <c r="O53" i="20" s="1"/>
  <c r="M51" i="20"/>
  <c r="M52" i="20" s="1"/>
  <c r="M53" i="20" s="1"/>
  <c r="K51" i="20"/>
  <c r="K52" i="20" s="1"/>
  <c r="K53" i="20" s="1"/>
  <c r="I51" i="20"/>
  <c r="I52" i="20" s="1"/>
  <c r="I53" i="20" s="1"/>
  <c r="G51" i="20"/>
  <c r="G52" i="20" s="1"/>
  <c r="G53" i="20" s="1"/>
  <c r="E51" i="20"/>
  <c r="E52" i="20" s="1"/>
  <c r="C51" i="20"/>
  <c r="C52" i="20" s="1"/>
  <c r="C53" i="20" s="1"/>
  <c r="Q46" i="20"/>
  <c r="R46" i="20" s="1"/>
  <c r="Q45" i="20"/>
  <c r="R45" i="20" s="1"/>
  <c r="Q44" i="20"/>
  <c r="R44" i="20" s="1"/>
  <c r="Q43" i="20"/>
  <c r="R43" i="20" s="1"/>
  <c r="Q42" i="20"/>
  <c r="R42" i="20" s="1"/>
  <c r="Q41" i="20"/>
  <c r="R41" i="20" s="1"/>
  <c r="Q40" i="20"/>
  <c r="R40" i="20" s="1"/>
  <c r="Q39" i="20"/>
  <c r="R39" i="20" s="1"/>
  <c r="Q38" i="20"/>
  <c r="R38" i="20" s="1"/>
  <c r="Q37" i="20"/>
  <c r="R37" i="20" s="1"/>
  <c r="Q36" i="20"/>
  <c r="R36" i="20" s="1"/>
  <c r="Q35" i="20"/>
  <c r="R35" i="20" s="1"/>
  <c r="Q34" i="20"/>
  <c r="R34" i="20" s="1"/>
  <c r="R33" i="20"/>
  <c r="O35" i="10"/>
  <c r="P35" i="10" s="1"/>
  <c r="F64" i="9"/>
  <c r="J62" i="9"/>
  <c r="F60" i="9"/>
  <c r="J55" i="9"/>
  <c r="P39" i="9"/>
  <c r="Q39" i="9" s="1"/>
  <c r="Q40" i="19"/>
  <c r="R40" i="19" s="1"/>
  <c r="Q39" i="19"/>
  <c r="R39" i="19" s="1"/>
  <c r="Q38" i="19"/>
  <c r="R38" i="19" s="1"/>
  <c r="Q37" i="19"/>
  <c r="R37" i="19" s="1"/>
  <c r="Q36" i="19"/>
  <c r="R36" i="19" s="1"/>
  <c r="Q35" i="19"/>
  <c r="R35" i="19" s="1"/>
  <c r="Q34" i="19"/>
  <c r="R34" i="19" s="1"/>
  <c r="Q33" i="19"/>
  <c r="R33" i="19" s="1"/>
  <c r="Q32" i="19"/>
  <c r="R32" i="19" s="1"/>
  <c r="Q31" i="19"/>
  <c r="R31" i="19" s="1"/>
  <c r="Q30" i="19"/>
  <c r="R30" i="19" s="1"/>
  <c r="Q29" i="19"/>
  <c r="R29" i="19" s="1"/>
  <c r="Q28" i="19"/>
  <c r="R28" i="19" s="1"/>
  <c r="Q27" i="19"/>
  <c r="R27" i="19" s="1"/>
  <c r="Q26" i="19"/>
  <c r="R26" i="19" s="1"/>
  <c r="Q25" i="19"/>
  <c r="R25" i="19" s="1"/>
  <c r="Q24" i="19"/>
  <c r="R24" i="19" s="1"/>
  <c r="Q23" i="19"/>
  <c r="R23" i="19" s="1"/>
  <c r="Q22" i="19"/>
  <c r="R22" i="19" s="1"/>
  <c r="Q21" i="19"/>
  <c r="R21" i="19" s="1"/>
  <c r="Q20" i="19"/>
  <c r="R20" i="19" s="1"/>
  <c r="Q19" i="19"/>
  <c r="R19" i="19" s="1"/>
  <c r="Q18" i="19"/>
  <c r="R18" i="19" s="1"/>
  <c r="Q17" i="19"/>
  <c r="R17" i="19" s="1"/>
  <c r="Q16" i="19"/>
  <c r="R16" i="19" s="1"/>
  <c r="Q15" i="19"/>
  <c r="R15" i="19" s="1"/>
  <c r="Q14" i="19"/>
  <c r="R14" i="19" s="1"/>
  <c r="Q13" i="19"/>
  <c r="R13" i="19" s="1"/>
  <c r="Q12" i="19"/>
  <c r="R12" i="19" s="1"/>
  <c r="Q11" i="19"/>
  <c r="R11" i="19" s="1"/>
  <c r="Q10" i="19"/>
  <c r="R10" i="19" s="1"/>
  <c r="Q9" i="19"/>
  <c r="R9" i="19" s="1"/>
  <c r="Q8" i="19"/>
  <c r="R8" i="19" s="1"/>
  <c r="Q7" i="19"/>
  <c r="R7" i="19" s="1"/>
  <c r="O49" i="18"/>
  <c r="M49" i="18"/>
  <c r="K49" i="18"/>
  <c r="I49" i="18"/>
  <c r="G49" i="18"/>
  <c r="E49" i="18"/>
  <c r="C49" i="18"/>
  <c r="O48" i="18"/>
  <c r="M48" i="18"/>
  <c r="K48" i="18"/>
  <c r="I48" i="18"/>
  <c r="G48" i="18"/>
  <c r="E48" i="18"/>
  <c r="C48" i="18"/>
  <c r="O47" i="18"/>
  <c r="M47" i="18"/>
  <c r="K47" i="18"/>
  <c r="I47" i="18"/>
  <c r="G47" i="18"/>
  <c r="E47" i="18"/>
  <c r="C47" i="18"/>
  <c r="O46" i="18"/>
  <c r="M46" i="18"/>
  <c r="K46" i="18"/>
  <c r="I46" i="18"/>
  <c r="G46" i="18"/>
  <c r="E46" i="18"/>
  <c r="C46" i="18"/>
  <c r="O45" i="18"/>
  <c r="M45" i="18"/>
  <c r="K45" i="18"/>
  <c r="I45" i="18"/>
  <c r="G45" i="18"/>
  <c r="E45" i="18"/>
  <c r="C45" i="18"/>
  <c r="O44" i="18"/>
  <c r="M44" i="18"/>
  <c r="K44" i="18"/>
  <c r="I44" i="18"/>
  <c r="G44" i="18"/>
  <c r="E44" i="18"/>
  <c r="C44" i="18"/>
  <c r="O41" i="18"/>
  <c r="O42" i="18" s="1"/>
  <c r="O43" i="18" s="1"/>
  <c r="M41" i="18"/>
  <c r="M42" i="18" s="1"/>
  <c r="M43" i="18" s="1"/>
  <c r="K41" i="18"/>
  <c r="K42" i="18" s="1"/>
  <c r="K43" i="18" s="1"/>
  <c r="I41" i="18"/>
  <c r="I42" i="18" s="1"/>
  <c r="I43" i="18" s="1"/>
  <c r="G41" i="18"/>
  <c r="G42" i="18" s="1"/>
  <c r="G43" i="18" s="1"/>
  <c r="E41" i="18"/>
  <c r="E42" i="18" s="1"/>
  <c r="E43" i="18" s="1"/>
  <c r="C41" i="18"/>
  <c r="C42" i="18" s="1"/>
  <c r="C43" i="18" s="1"/>
  <c r="Q32" i="18"/>
  <c r="R32" i="18" s="1"/>
  <c r="Q31" i="18"/>
  <c r="R31" i="18" s="1"/>
  <c r="Q30" i="18"/>
  <c r="R30" i="18" s="1"/>
  <c r="Q29" i="18"/>
  <c r="R29" i="18" s="1"/>
  <c r="Q28" i="18"/>
  <c r="R28" i="18" s="1"/>
  <c r="Q27" i="18"/>
  <c r="R27" i="18" s="1"/>
  <c r="Q26" i="18"/>
  <c r="R26" i="18" s="1"/>
  <c r="Q25" i="18"/>
  <c r="R25" i="18" s="1"/>
  <c r="Q24" i="18"/>
  <c r="R24" i="18" s="1"/>
  <c r="Q23" i="18"/>
  <c r="R23" i="18" s="1"/>
  <c r="Q22" i="18"/>
  <c r="R22" i="18" s="1"/>
  <c r="Q21" i="18"/>
  <c r="R21" i="18" s="1"/>
  <c r="Q20" i="18"/>
  <c r="R20" i="18" s="1"/>
  <c r="R19" i="18"/>
  <c r="Q17" i="18"/>
  <c r="R17" i="18" s="1"/>
  <c r="Q16" i="18"/>
  <c r="R16" i="18" s="1"/>
  <c r="Q15" i="18"/>
  <c r="R15" i="18" s="1"/>
  <c r="Q14" i="18"/>
  <c r="R14" i="18" s="1"/>
  <c r="Q13" i="18"/>
  <c r="R13" i="18" s="1"/>
  <c r="Q12" i="18"/>
  <c r="R12" i="18" s="1"/>
  <c r="Q11" i="18"/>
  <c r="R11" i="18" s="1"/>
  <c r="Q10" i="18"/>
  <c r="R10" i="18" s="1"/>
  <c r="Q9" i="18"/>
  <c r="R9" i="18" s="1"/>
  <c r="Q8" i="18"/>
  <c r="R8" i="18" s="1"/>
  <c r="Q7" i="18"/>
  <c r="R7" i="18" s="1"/>
  <c r="O57" i="17"/>
  <c r="M57" i="17"/>
  <c r="K57" i="17"/>
  <c r="I57" i="17"/>
  <c r="G57" i="17"/>
  <c r="E57" i="17"/>
  <c r="C57" i="17"/>
  <c r="O56" i="17"/>
  <c r="M56" i="17"/>
  <c r="K56" i="17"/>
  <c r="I56" i="17"/>
  <c r="G56" i="17"/>
  <c r="E56" i="17"/>
  <c r="C56" i="17"/>
  <c r="O55" i="17"/>
  <c r="M55" i="17"/>
  <c r="K55" i="17"/>
  <c r="I55" i="17"/>
  <c r="G55" i="17"/>
  <c r="E55" i="17"/>
  <c r="C55" i="17"/>
  <c r="O54" i="17"/>
  <c r="M54" i="17"/>
  <c r="K54" i="17"/>
  <c r="G54" i="17"/>
  <c r="E54" i="17"/>
  <c r="C54" i="17"/>
  <c r="O53" i="17"/>
  <c r="M53" i="17"/>
  <c r="I53" i="17"/>
  <c r="E53" i="17"/>
  <c r="O52" i="17"/>
  <c r="K52" i="17"/>
  <c r="G52" i="17"/>
  <c r="C52" i="17"/>
  <c r="M49" i="17"/>
  <c r="I49" i="17"/>
  <c r="E49" i="17"/>
  <c r="M48" i="17"/>
  <c r="Q45" i="17"/>
  <c r="R45" i="17" s="1"/>
  <c r="Q39" i="17"/>
  <c r="R39" i="17" s="1"/>
  <c r="Q37" i="17"/>
  <c r="R37" i="17" s="1"/>
  <c r="Q33" i="17"/>
  <c r="R33" i="17" s="1"/>
  <c r="Q32" i="17"/>
  <c r="R32" i="17" s="1"/>
  <c r="Q31" i="17"/>
  <c r="R31" i="17" s="1"/>
  <c r="Q30" i="17"/>
  <c r="R30" i="17" s="1"/>
  <c r="Q28" i="17"/>
  <c r="R28" i="17" s="1"/>
  <c r="Q23" i="17"/>
  <c r="R23" i="17" s="1"/>
  <c r="Q22" i="17"/>
  <c r="R22" i="17" s="1"/>
  <c r="Q19" i="17"/>
  <c r="R19" i="17" s="1"/>
  <c r="Q18" i="17"/>
  <c r="R18" i="17" s="1"/>
  <c r="Q16" i="17"/>
  <c r="R16" i="17" s="1"/>
  <c r="Q15" i="17"/>
  <c r="R15" i="17" s="1"/>
  <c r="Q13" i="17"/>
  <c r="R13" i="17" s="1"/>
  <c r="Q11" i="17"/>
  <c r="R11" i="17" s="1"/>
  <c r="K54" i="14"/>
  <c r="C54" i="14"/>
  <c r="R18" i="18"/>
  <c r="I54" i="17"/>
  <c r="K53" i="17"/>
  <c r="G53" i="17"/>
  <c r="C53" i="17"/>
  <c r="M52" i="17"/>
  <c r="I52" i="17"/>
  <c r="E52" i="17"/>
  <c r="O49" i="17"/>
  <c r="K49" i="17"/>
  <c r="G49" i="17"/>
  <c r="C49" i="17"/>
  <c r="O48" i="17"/>
  <c r="K48" i="17"/>
  <c r="I48" i="17"/>
  <c r="Q44" i="17"/>
  <c r="R44" i="17" s="1"/>
  <c r="Q43" i="17"/>
  <c r="R43" i="17" s="1"/>
  <c r="Q42" i="17"/>
  <c r="R42" i="17" s="1"/>
  <c r="Q41" i="17"/>
  <c r="R41" i="17" s="1"/>
  <c r="Q40" i="17"/>
  <c r="R40" i="17" s="1"/>
  <c r="Q38" i="17"/>
  <c r="R38" i="17" s="1"/>
  <c r="Q36" i="17"/>
  <c r="R36" i="17" s="1"/>
  <c r="Q35" i="17"/>
  <c r="R35" i="17" s="1"/>
  <c r="Q34" i="17"/>
  <c r="R34" i="17" s="1"/>
  <c r="Q29" i="17"/>
  <c r="R29" i="17" s="1"/>
  <c r="Q27" i="17"/>
  <c r="R27" i="17" s="1"/>
  <c r="Q26" i="17"/>
  <c r="R26" i="17" s="1"/>
  <c r="Q25" i="17"/>
  <c r="R25" i="17" s="1"/>
  <c r="Q24" i="17"/>
  <c r="R24" i="17" s="1"/>
  <c r="Q21" i="17"/>
  <c r="R21" i="17" s="1"/>
  <c r="Q20" i="17"/>
  <c r="R20" i="17" s="1"/>
  <c r="Q17" i="17"/>
  <c r="R17" i="17" s="1"/>
  <c r="Q14" i="17"/>
  <c r="R14" i="17" s="1"/>
  <c r="Q12" i="17"/>
  <c r="R12" i="17" s="1"/>
  <c r="Q10" i="17"/>
  <c r="R10" i="17" s="1"/>
  <c r="I54" i="14"/>
  <c r="M65" i="10"/>
  <c r="K62" i="10"/>
  <c r="O36" i="10"/>
  <c r="P36" i="10" s="1"/>
  <c r="O32" i="10"/>
  <c r="P32" i="10" s="1"/>
  <c r="O30" i="10"/>
  <c r="P30" i="10" s="1"/>
  <c r="N62" i="9"/>
  <c r="F61" i="9"/>
  <c r="J59" i="9"/>
  <c r="F55" i="9"/>
  <c r="Q9" i="17"/>
  <c r="R9" i="17" s="1"/>
  <c r="O69" i="15"/>
  <c r="M69" i="15"/>
  <c r="K69" i="15"/>
  <c r="I69" i="15"/>
  <c r="G69" i="15"/>
  <c r="E69" i="15"/>
  <c r="C69" i="15"/>
  <c r="O68" i="15"/>
  <c r="M68" i="15"/>
  <c r="K68" i="15"/>
  <c r="I68" i="15"/>
  <c r="G68" i="15"/>
  <c r="E68" i="15"/>
  <c r="C68" i="15"/>
  <c r="O67" i="15"/>
  <c r="M67" i="15"/>
  <c r="K67" i="15"/>
  <c r="I67" i="15"/>
  <c r="G67" i="15"/>
  <c r="E67" i="15"/>
  <c r="C67" i="15"/>
  <c r="O66" i="15"/>
  <c r="M66" i="15"/>
  <c r="K66" i="15"/>
  <c r="I66" i="15"/>
  <c r="G66" i="15"/>
  <c r="E66" i="15"/>
  <c r="C66" i="15"/>
  <c r="O65" i="15"/>
  <c r="M65" i="15"/>
  <c r="K65" i="15"/>
  <c r="I65" i="15"/>
  <c r="G65" i="15"/>
  <c r="E65" i="15"/>
  <c r="C65" i="15"/>
  <c r="O64" i="15"/>
  <c r="M64" i="15"/>
  <c r="K64" i="15"/>
  <c r="I64" i="15"/>
  <c r="G64" i="15"/>
  <c r="E64" i="15"/>
  <c r="C64" i="15"/>
  <c r="O61" i="15"/>
  <c r="M61" i="15"/>
  <c r="K61" i="15"/>
  <c r="I61" i="15"/>
  <c r="G61" i="15"/>
  <c r="E61" i="15"/>
  <c r="C61" i="15"/>
  <c r="O60" i="15"/>
  <c r="K60" i="15"/>
  <c r="Q45" i="15"/>
  <c r="R45" i="15" s="1"/>
  <c r="Q44" i="15"/>
  <c r="R44" i="15" s="1"/>
  <c r="Q43" i="15"/>
  <c r="R43" i="15" s="1"/>
  <c r="Q42" i="15"/>
  <c r="R42" i="15" s="1"/>
  <c r="Q41" i="15"/>
  <c r="R41" i="15" s="1"/>
  <c r="Q40" i="15"/>
  <c r="R40" i="15" s="1"/>
  <c r="Q39" i="15"/>
  <c r="R39" i="15" s="1"/>
  <c r="Q38" i="15"/>
  <c r="R38" i="15" s="1"/>
  <c r="Q37" i="15"/>
  <c r="R37" i="15" s="1"/>
  <c r="Q36" i="15"/>
  <c r="R36" i="15" s="1"/>
  <c r="Q35" i="15"/>
  <c r="R35" i="15" s="1"/>
  <c r="Q34" i="15"/>
  <c r="R34" i="15" s="1"/>
  <c r="Q33" i="15"/>
  <c r="R33" i="15" s="1"/>
  <c r="Q32" i="15"/>
  <c r="R32" i="15" s="1"/>
  <c r="Q31" i="15"/>
  <c r="R31" i="15" s="1"/>
  <c r="Q30" i="15"/>
  <c r="R30" i="15" s="1"/>
  <c r="Q29" i="15"/>
  <c r="R29" i="15" s="1"/>
  <c r="Q28" i="15"/>
  <c r="R28" i="15" s="1"/>
  <c r="Q27" i="15"/>
  <c r="R27" i="15" s="1"/>
  <c r="Q26" i="15"/>
  <c r="R26" i="15" s="1"/>
  <c r="Q25" i="15"/>
  <c r="R25" i="15" s="1"/>
  <c r="Q24" i="15"/>
  <c r="R24" i="15" s="1"/>
  <c r="Q23" i="15"/>
  <c r="R23" i="15" s="1"/>
  <c r="Q22" i="15"/>
  <c r="R22" i="15" s="1"/>
  <c r="Q21" i="15"/>
  <c r="R21" i="15" s="1"/>
  <c r="Q20" i="15"/>
  <c r="R20" i="15" s="1"/>
  <c r="Q19" i="15"/>
  <c r="R19" i="15" s="1"/>
  <c r="Q18" i="15"/>
  <c r="R18" i="15" s="1"/>
  <c r="Q17" i="15"/>
  <c r="R17" i="15" s="1"/>
  <c r="Q16" i="15"/>
  <c r="R16" i="15" s="1"/>
  <c r="Q15" i="15"/>
  <c r="R15" i="15" s="1"/>
  <c r="Q14" i="15"/>
  <c r="R14" i="15" s="1"/>
  <c r="Q13" i="15"/>
  <c r="R13" i="15" s="1"/>
  <c r="Q12" i="15"/>
  <c r="R12" i="15" s="1"/>
  <c r="Q11" i="15"/>
  <c r="R11" i="15" s="1"/>
  <c r="Q10" i="15"/>
  <c r="R10" i="15" s="1"/>
  <c r="Q9" i="15"/>
  <c r="R9" i="15" s="1"/>
  <c r="I52" i="14"/>
  <c r="Q40" i="11"/>
  <c r="R40" i="11" s="1"/>
  <c r="S40" i="11" s="1"/>
  <c r="C65" i="10"/>
  <c r="E62" i="10"/>
  <c r="O42" i="10"/>
  <c r="P42" i="10" s="1"/>
  <c r="O33" i="10"/>
  <c r="P33" i="10" s="1"/>
  <c r="H63" i="9"/>
  <c r="C61" i="9"/>
  <c r="H56" i="9"/>
  <c r="P34" i="9"/>
  <c r="Q34" i="9" s="1"/>
  <c r="C52" i="14"/>
  <c r="Q44" i="14"/>
  <c r="R44" i="14" s="1"/>
  <c r="Q43" i="14"/>
  <c r="R43" i="14" s="1"/>
  <c r="Q42" i="14"/>
  <c r="R42" i="14" s="1"/>
  <c r="Q41" i="14"/>
  <c r="R41" i="14" s="1"/>
  <c r="Q40" i="14"/>
  <c r="R40" i="14" s="1"/>
  <c r="Q39" i="14"/>
  <c r="R39" i="14" s="1"/>
  <c r="Q38" i="14"/>
  <c r="R38" i="14" s="1"/>
  <c r="Q37" i="14"/>
  <c r="R37" i="14" s="1"/>
  <c r="Q36" i="14"/>
  <c r="R36" i="14" s="1"/>
  <c r="Q35" i="14"/>
  <c r="R35" i="14" s="1"/>
  <c r="Q34" i="14"/>
  <c r="R34" i="14" s="1"/>
  <c r="Q33" i="14"/>
  <c r="R33" i="14" s="1"/>
  <c r="Q32" i="14"/>
  <c r="R32" i="14" s="1"/>
  <c r="Q31" i="14"/>
  <c r="R31" i="14" s="1"/>
  <c r="Q30" i="14"/>
  <c r="R30" i="14" s="1"/>
  <c r="Q29" i="14"/>
  <c r="R29" i="14" s="1"/>
  <c r="Q28" i="14"/>
  <c r="R28" i="14" s="1"/>
  <c r="Q27" i="14"/>
  <c r="R27" i="14" s="1"/>
  <c r="Q26" i="14"/>
  <c r="R26" i="14" s="1"/>
  <c r="Q25" i="14"/>
  <c r="R25" i="14" s="1"/>
  <c r="Q24" i="14"/>
  <c r="R24" i="14" s="1"/>
  <c r="Q23" i="14"/>
  <c r="R23" i="14" s="1"/>
  <c r="Q22" i="14"/>
  <c r="R22" i="14" s="1"/>
  <c r="Q21" i="14"/>
  <c r="R21" i="14" s="1"/>
  <c r="Q20" i="14"/>
  <c r="R20" i="14" s="1"/>
  <c r="Q19" i="14"/>
  <c r="R19" i="14" s="1"/>
  <c r="Q18" i="14"/>
  <c r="R18" i="14" s="1"/>
  <c r="Q17" i="14"/>
  <c r="R17" i="14" s="1"/>
  <c r="Q16" i="14"/>
  <c r="R16" i="14" s="1"/>
  <c r="Q15" i="14"/>
  <c r="R15" i="14" s="1"/>
  <c r="Q14" i="14"/>
  <c r="R14" i="14" s="1"/>
  <c r="Q13" i="14"/>
  <c r="R13" i="14" s="1"/>
  <c r="Q12" i="14"/>
  <c r="R12" i="14" s="1"/>
  <c r="Q11" i="14"/>
  <c r="R11" i="14" s="1"/>
  <c r="Q10" i="14"/>
  <c r="R10" i="14" s="1"/>
  <c r="Q9" i="14"/>
  <c r="R9" i="14" s="1"/>
  <c r="O69" i="13"/>
  <c r="M69" i="13"/>
  <c r="K69" i="13"/>
  <c r="I69" i="13"/>
  <c r="G69" i="13"/>
  <c r="E69" i="13"/>
  <c r="C69" i="13"/>
  <c r="O68" i="13"/>
  <c r="M68" i="13"/>
  <c r="K68" i="13"/>
  <c r="I68" i="13"/>
  <c r="G68" i="13"/>
  <c r="E68" i="13"/>
  <c r="C68" i="13"/>
  <c r="O67" i="13"/>
  <c r="M67" i="13"/>
  <c r="K67" i="13"/>
  <c r="I67" i="13"/>
  <c r="G67" i="13"/>
  <c r="E67" i="13"/>
  <c r="C67" i="13"/>
  <c r="O66" i="13"/>
  <c r="M66" i="13"/>
  <c r="K66" i="13"/>
  <c r="I66" i="13"/>
  <c r="G66" i="13"/>
  <c r="E66" i="13"/>
  <c r="C66" i="13"/>
  <c r="O65" i="13"/>
  <c r="M65" i="13"/>
  <c r="K65" i="13"/>
  <c r="I65" i="13"/>
  <c r="G65" i="13"/>
  <c r="E65" i="13"/>
  <c r="C65" i="13"/>
  <c r="O64" i="13"/>
  <c r="M64" i="13"/>
  <c r="K64" i="13"/>
  <c r="I64" i="13"/>
  <c r="G64" i="13"/>
  <c r="E64" i="13"/>
  <c r="C64" i="13"/>
  <c r="O61" i="13"/>
  <c r="M61" i="13"/>
  <c r="K61" i="13"/>
  <c r="I61" i="13"/>
  <c r="G61" i="13"/>
  <c r="E61" i="13"/>
  <c r="C61" i="13"/>
  <c r="O60" i="13"/>
  <c r="M60" i="13"/>
  <c r="Q50" i="13"/>
  <c r="R50" i="13" s="1"/>
  <c r="Q49" i="13"/>
  <c r="R49" i="13" s="1"/>
  <c r="Q48" i="13"/>
  <c r="R48" i="13" s="1"/>
  <c r="Q47" i="13"/>
  <c r="R47" i="13" s="1"/>
  <c r="Q46" i="13"/>
  <c r="R46" i="13" s="1"/>
  <c r="Q45" i="13"/>
  <c r="R45" i="13" s="1"/>
  <c r="Q44" i="13"/>
  <c r="R44" i="13" s="1"/>
  <c r="Q43" i="13"/>
  <c r="R43" i="13" s="1"/>
  <c r="Q42" i="13"/>
  <c r="R42" i="13" s="1"/>
  <c r="Q41" i="13"/>
  <c r="R41" i="13" s="1"/>
  <c r="Q40" i="13"/>
  <c r="R40" i="13" s="1"/>
  <c r="Q39" i="13"/>
  <c r="R39" i="13" s="1"/>
  <c r="O71" i="11"/>
  <c r="M71" i="11"/>
  <c r="I71" i="11"/>
  <c r="E71" i="11"/>
  <c r="M70" i="11"/>
  <c r="I70" i="11"/>
  <c r="E70" i="11"/>
  <c r="M69" i="11"/>
  <c r="I69" i="11"/>
  <c r="E69" i="11"/>
  <c r="M68" i="11"/>
  <c r="I68" i="11"/>
  <c r="E68" i="11"/>
  <c r="M67" i="11"/>
  <c r="I67" i="11"/>
  <c r="G67" i="11"/>
  <c r="C67" i="11"/>
  <c r="O66" i="11"/>
  <c r="K66" i="11"/>
  <c r="G66" i="11"/>
  <c r="C66" i="11"/>
  <c r="M63" i="11"/>
  <c r="I63" i="11"/>
  <c r="E63" i="11"/>
  <c r="K62" i="11"/>
  <c r="G62" i="11"/>
  <c r="C62" i="11"/>
  <c r="K65" i="10"/>
  <c r="O27" i="10"/>
  <c r="P27" i="10" s="1"/>
  <c r="O23" i="10"/>
  <c r="P23" i="10" s="1"/>
  <c r="L63" i="9"/>
  <c r="L61" i="9"/>
  <c r="L59" i="9"/>
  <c r="C56" i="9"/>
  <c r="P38" i="9"/>
  <c r="Q38" i="9" s="1"/>
  <c r="P29" i="9"/>
  <c r="Q29" i="9" s="1"/>
  <c r="Q38" i="13"/>
  <c r="R38" i="13" s="1"/>
  <c r="Q37" i="13"/>
  <c r="R37" i="13" s="1"/>
  <c r="Q36" i="13"/>
  <c r="R36" i="13" s="1"/>
  <c r="Q35" i="13"/>
  <c r="R35" i="13" s="1"/>
  <c r="Q34" i="13"/>
  <c r="R34" i="13" s="1"/>
  <c r="Q33" i="13"/>
  <c r="R33" i="13" s="1"/>
  <c r="Q32" i="13"/>
  <c r="R32" i="13" s="1"/>
  <c r="Q31" i="13"/>
  <c r="R31" i="13" s="1"/>
  <c r="Q30" i="13"/>
  <c r="R30" i="13" s="1"/>
  <c r="Q29" i="13"/>
  <c r="R29" i="13" s="1"/>
  <c r="Q28" i="13"/>
  <c r="R28" i="13" s="1"/>
  <c r="Q27" i="13"/>
  <c r="R27" i="13" s="1"/>
  <c r="Q26" i="13"/>
  <c r="R26" i="13" s="1"/>
  <c r="Q25" i="13"/>
  <c r="R25" i="13" s="1"/>
  <c r="Q24" i="13"/>
  <c r="R24" i="13" s="1"/>
  <c r="Q23" i="13"/>
  <c r="R23" i="13" s="1"/>
  <c r="Q22" i="13"/>
  <c r="R22" i="13" s="1"/>
  <c r="Q21" i="13"/>
  <c r="R21" i="13" s="1"/>
  <c r="Q20" i="13"/>
  <c r="R20" i="13" s="1"/>
  <c r="Q19" i="13"/>
  <c r="R19" i="13" s="1"/>
  <c r="Q18" i="13"/>
  <c r="R18" i="13" s="1"/>
  <c r="Q17" i="13"/>
  <c r="R17" i="13" s="1"/>
  <c r="Q16" i="13"/>
  <c r="R16" i="13" s="1"/>
  <c r="Q15" i="13"/>
  <c r="R15" i="13" s="1"/>
  <c r="Q14" i="13"/>
  <c r="R14" i="13" s="1"/>
  <c r="Q13" i="13"/>
  <c r="R13" i="13" s="1"/>
  <c r="Q12" i="13"/>
  <c r="R12" i="13" s="1"/>
  <c r="Q11" i="13"/>
  <c r="R11" i="13" s="1"/>
  <c r="Q10" i="13"/>
  <c r="R10" i="13" s="1"/>
  <c r="Q9" i="13"/>
  <c r="R9" i="13" s="1"/>
  <c r="O67" i="12"/>
  <c r="M67" i="12"/>
  <c r="K67" i="12"/>
  <c r="I67" i="12"/>
  <c r="G67" i="12"/>
  <c r="E67" i="12"/>
  <c r="C67" i="12"/>
  <c r="O66" i="12"/>
  <c r="M66" i="12"/>
  <c r="K66" i="12"/>
  <c r="I66" i="12"/>
  <c r="G66" i="12"/>
  <c r="E66" i="12"/>
  <c r="C66" i="12"/>
  <c r="O65" i="12"/>
  <c r="M65" i="12"/>
  <c r="K65" i="12"/>
  <c r="I65" i="12"/>
  <c r="G65" i="12"/>
  <c r="E65" i="12"/>
  <c r="C65" i="12"/>
  <c r="O64" i="12"/>
  <c r="M64" i="12"/>
  <c r="K64" i="12"/>
  <c r="I64" i="12"/>
  <c r="G64" i="12"/>
  <c r="E64" i="12"/>
  <c r="C64" i="12"/>
  <c r="O63" i="12"/>
  <c r="M63" i="12"/>
  <c r="K63" i="12"/>
  <c r="I63" i="12"/>
  <c r="G63" i="12"/>
  <c r="E63" i="12"/>
  <c r="C63" i="12"/>
  <c r="O62" i="12"/>
  <c r="M62" i="12"/>
  <c r="K62" i="12"/>
  <c r="I62" i="12"/>
  <c r="G62" i="12"/>
  <c r="E62" i="12"/>
  <c r="C62" i="12"/>
  <c r="O59" i="12"/>
  <c r="M59" i="12"/>
  <c r="K59" i="12"/>
  <c r="I59" i="12"/>
  <c r="G59" i="12"/>
  <c r="E59" i="12"/>
  <c r="C59" i="12"/>
  <c r="O58" i="12"/>
  <c r="M58" i="12"/>
  <c r="K58" i="12"/>
  <c r="I58" i="12"/>
  <c r="G58" i="12"/>
  <c r="E58" i="12"/>
  <c r="C58" i="12"/>
  <c r="Q51" i="12"/>
  <c r="R51" i="12" s="1"/>
  <c r="Q50" i="12"/>
  <c r="R50" i="12" s="1"/>
  <c r="Q49" i="12"/>
  <c r="R49" i="12" s="1"/>
  <c r="Q48" i="12"/>
  <c r="R48" i="12" s="1"/>
  <c r="Q47" i="12"/>
  <c r="R47" i="12" s="1"/>
  <c r="Q46" i="12"/>
  <c r="R46" i="12" s="1"/>
  <c r="Q45" i="12"/>
  <c r="R45" i="12" s="1"/>
  <c r="Q44" i="12"/>
  <c r="R44" i="12" s="1"/>
  <c r="Q43" i="12"/>
  <c r="R43" i="12" s="1"/>
  <c r="Q42" i="12"/>
  <c r="R42" i="12" s="1"/>
  <c r="Q41" i="12"/>
  <c r="R41" i="12" s="1"/>
  <c r="Q40" i="12"/>
  <c r="R40" i="12" s="1"/>
  <c r="Q39" i="12"/>
  <c r="R39" i="12" s="1"/>
  <c r="Q25" i="12"/>
  <c r="R25" i="12" s="1"/>
  <c r="Q24" i="12"/>
  <c r="R24" i="12" s="1"/>
  <c r="Q23" i="12"/>
  <c r="R23" i="12" s="1"/>
  <c r="Q22" i="12"/>
  <c r="R22" i="12" s="1"/>
  <c r="Q21" i="12"/>
  <c r="R21" i="12" s="1"/>
  <c r="Q20" i="12"/>
  <c r="R20" i="12" s="1"/>
  <c r="Q19" i="12"/>
  <c r="R19" i="12" s="1"/>
  <c r="Q18" i="12"/>
  <c r="R18" i="12" s="1"/>
  <c r="Q17" i="12"/>
  <c r="R17" i="12" s="1"/>
  <c r="Q16" i="12"/>
  <c r="R16" i="12" s="1"/>
  <c r="Q15" i="12"/>
  <c r="R15" i="12" s="1"/>
  <c r="Q14" i="12"/>
  <c r="R14" i="12" s="1"/>
  <c r="Q13" i="12"/>
  <c r="R13" i="12" s="1"/>
  <c r="Q12" i="12"/>
  <c r="R12" i="12" s="1"/>
  <c r="Q11" i="12"/>
  <c r="R11" i="12" s="1"/>
  <c r="Q10" i="12"/>
  <c r="R10" i="12" s="1"/>
  <c r="Q9" i="12"/>
  <c r="R9" i="12" s="1"/>
  <c r="Q8" i="12"/>
  <c r="R8" i="12" s="1"/>
  <c r="K71" i="11"/>
  <c r="G71" i="11"/>
  <c r="C71" i="11"/>
  <c r="O70" i="11"/>
  <c r="K70" i="11"/>
  <c r="G70" i="11"/>
  <c r="C70" i="11"/>
  <c r="O69" i="11"/>
  <c r="K69" i="11"/>
  <c r="G69" i="11"/>
  <c r="C69" i="11"/>
  <c r="O68" i="11"/>
  <c r="K68" i="11"/>
  <c r="G68" i="11"/>
  <c r="C68" i="11"/>
  <c r="O67" i="11"/>
  <c r="K67" i="11"/>
  <c r="E67" i="11"/>
  <c r="M66" i="11"/>
  <c r="I66" i="11"/>
  <c r="E66" i="11"/>
  <c r="O63" i="11"/>
  <c r="K63" i="11"/>
  <c r="G63" i="11"/>
  <c r="C63" i="11"/>
  <c r="O62" i="11"/>
  <c r="Q38" i="12"/>
  <c r="R38" i="12" s="1"/>
  <c r="Q37" i="12"/>
  <c r="R37" i="12" s="1"/>
  <c r="Q36" i="12"/>
  <c r="R36" i="12" s="1"/>
  <c r="Q35" i="12"/>
  <c r="R35" i="12" s="1"/>
  <c r="Q34" i="12"/>
  <c r="R34" i="12" s="1"/>
  <c r="Q33" i="12"/>
  <c r="R33" i="12" s="1"/>
  <c r="Q32" i="12"/>
  <c r="R32" i="12" s="1"/>
  <c r="Q31" i="12"/>
  <c r="R31" i="12" s="1"/>
  <c r="Q30" i="12"/>
  <c r="R30" i="12" s="1"/>
  <c r="Q29" i="12"/>
  <c r="R29" i="12" s="1"/>
  <c r="Q28" i="12"/>
  <c r="R28" i="12" s="1"/>
  <c r="Q27" i="12"/>
  <c r="R27" i="12" s="1"/>
  <c r="Q26" i="12"/>
  <c r="R26" i="12" s="1"/>
  <c r="Q42" i="11"/>
  <c r="R42" i="11" s="1"/>
  <c r="Q38" i="11"/>
  <c r="R38" i="11" s="1"/>
  <c r="S38" i="11" s="1"/>
  <c r="G66" i="10"/>
  <c r="M61" i="10"/>
  <c r="E61" i="10"/>
  <c r="O48" i="10"/>
  <c r="P48" i="10" s="1"/>
  <c r="O46" i="10"/>
  <c r="P46" i="10" s="1"/>
  <c r="O44" i="10"/>
  <c r="P44" i="10" s="1"/>
  <c r="O37" i="10"/>
  <c r="P37" i="10" s="1"/>
  <c r="O29" i="10"/>
  <c r="P29" i="10" s="1"/>
  <c r="O26" i="10"/>
  <c r="P26" i="10" s="1"/>
  <c r="O25" i="10"/>
  <c r="P25" i="10" s="1"/>
  <c r="O24" i="10"/>
  <c r="P24" i="10" s="1"/>
  <c r="O19" i="10"/>
  <c r="P19" i="10" s="1"/>
  <c r="O17" i="10"/>
  <c r="P17" i="10" s="1"/>
  <c r="O15" i="10"/>
  <c r="P15" i="10" s="1"/>
  <c r="L64" i="9"/>
  <c r="F63" i="9"/>
  <c r="H61" i="9"/>
  <c r="H59" i="9"/>
  <c r="P57" i="9"/>
  <c r="L56" i="9"/>
  <c r="N55" i="9"/>
  <c r="H55" i="9"/>
  <c r="P46" i="9"/>
  <c r="Q46" i="9" s="1"/>
  <c r="P43" i="9"/>
  <c r="Q43" i="9" s="1"/>
  <c r="P36" i="9"/>
  <c r="Q36" i="9" s="1"/>
  <c r="P32" i="9"/>
  <c r="Q32" i="9" s="1"/>
  <c r="P27" i="9"/>
  <c r="Q27" i="9" s="1"/>
  <c r="Q37" i="11"/>
  <c r="R37" i="11" s="1"/>
  <c r="S37" i="11" s="1"/>
  <c r="Q36" i="11"/>
  <c r="R36" i="11" s="1"/>
  <c r="S36" i="11" s="1"/>
  <c r="Q35" i="11"/>
  <c r="R35" i="11" s="1"/>
  <c r="S35" i="11" s="1"/>
  <c r="Q34" i="11"/>
  <c r="R34" i="11" s="1"/>
  <c r="S34" i="11" s="1"/>
  <c r="Q33" i="11"/>
  <c r="R33" i="11" s="1"/>
  <c r="S33" i="11" s="1"/>
  <c r="Q32" i="11"/>
  <c r="R32" i="11" s="1"/>
  <c r="S32" i="11" s="1"/>
  <c r="Q31" i="11"/>
  <c r="R31" i="11" s="1"/>
  <c r="S31" i="11" s="1"/>
  <c r="Q30" i="11"/>
  <c r="R30" i="11" s="1"/>
  <c r="S30" i="11" s="1"/>
  <c r="Q29" i="11"/>
  <c r="R29" i="11" s="1"/>
  <c r="S29" i="11" s="1"/>
  <c r="Q28" i="11"/>
  <c r="R28" i="11" s="1"/>
  <c r="S28" i="11" s="1"/>
  <c r="Q27" i="11"/>
  <c r="R27" i="11" s="1"/>
  <c r="S27" i="11" s="1"/>
  <c r="Q26" i="11"/>
  <c r="R26" i="11" s="1"/>
  <c r="S26" i="11" s="1"/>
  <c r="Q25" i="11"/>
  <c r="R25" i="11" s="1"/>
  <c r="S25" i="11" s="1"/>
  <c r="Q24" i="11"/>
  <c r="R24" i="11" s="1"/>
  <c r="S24" i="11" s="1"/>
  <c r="Q23" i="11"/>
  <c r="R23" i="11" s="1"/>
  <c r="S23" i="11" s="1"/>
  <c r="Q22" i="11"/>
  <c r="R22" i="11" s="1"/>
  <c r="S22" i="11" s="1"/>
  <c r="Q21" i="11"/>
  <c r="R21" i="11" s="1"/>
  <c r="S21" i="11" s="1"/>
  <c r="Q20" i="11"/>
  <c r="R20" i="11" s="1"/>
  <c r="S20" i="11" s="1"/>
  <c r="Q19" i="11"/>
  <c r="R19" i="11" s="1"/>
  <c r="S19" i="11" s="1"/>
  <c r="Q18" i="11"/>
  <c r="R18" i="11" s="1"/>
  <c r="S18" i="11" s="1"/>
  <c r="Q17" i="11"/>
  <c r="R17" i="11" s="1"/>
  <c r="S17" i="11" s="1"/>
  <c r="Q16" i="11"/>
  <c r="R16" i="11" s="1"/>
  <c r="S16" i="11" s="1"/>
  <c r="Q15" i="11"/>
  <c r="R15" i="11" s="1"/>
  <c r="S15" i="11" s="1"/>
  <c r="Q14" i="11"/>
  <c r="R14" i="11" s="1"/>
  <c r="S14" i="11" s="1"/>
  <c r="Q13" i="11"/>
  <c r="R13" i="11" s="1"/>
  <c r="S13" i="11" s="1"/>
  <c r="Q12" i="11"/>
  <c r="R12" i="11" s="1"/>
  <c r="S12" i="11" s="1"/>
  <c r="Q11" i="11"/>
  <c r="R11" i="11" s="1"/>
  <c r="S11" i="11" s="1"/>
  <c r="Q10" i="11"/>
  <c r="R10" i="11" s="1"/>
  <c r="S10" i="11" s="1"/>
  <c r="Q9" i="11"/>
  <c r="R9" i="11" s="1"/>
  <c r="S9" i="11" s="1"/>
  <c r="Q8" i="11"/>
  <c r="R8" i="11" s="1"/>
  <c r="M70" i="10"/>
  <c r="K70" i="10"/>
  <c r="I70" i="10"/>
  <c r="G70" i="10"/>
  <c r="E70" i="10"/>
  <c r="C70" i="10"/>
  <c r="M69" i="10"/>
  <c r="K69" i="10"/>
  <c r="I69" i="10"/>
  <c r="G69" i="10"/>
  <c r="E69" i="10"/>
  <c r="C69" i="10"/>
  <c r="M68" i="10"/>
  <c r="K68" i="10"/>
  <c r="I68" i="10"/>
  <c r="G68" i="10"/>
  <c r="E68" i="10"/>
  <c r="C68" i="10"/>
  <c r="M67" i="10"/>
  <c r="K67" i="10"/>
  <c r="I67" i="10"/>
  <c r="G67" i="10"/>
  <c r="E67" i="10"/>
  <c r="C67" i="10"/>
  <c r="M66" i="10"/>
  <c r="K66" i="10"/>
  <c r="C66" i="10"/>
  <c r="E65" i="10"/>
  <c r="M62" i="10"/>
  <c r="C62" i="10"/>
  <c r="O47" i="10"/>
  <c r="P47" i="10" s="1"/>
  <c r="O45" i="10"/>
  <c r="P45" i="10" s="1"/>
  <c r="O43" i="10"/>
  <c r="P43" i="10" s="1"/>
  <c r="H64" i="9"/>
  <c r="H62" i="9"/>
  <c r="J60" i="9"/>
  <c r="C59" i="9"/>
  <c r="P47" i="9"/>
  <c r="Q47" i="9" s="1"/>
  <c r="P45" i="9"/>
  <c r="Q45" i="9" s="1"/>
  <c r="P42" i="9"/>
  <c r="Q42" i="9" s="1"/>
  <c r="P41" i="9"/>
  <c r="Q41" i="9" s="1"/>
  <c r="P40" i="9"/>
  <c r="Q40" i="9" s="1"/>
  <c r="P31" i="9"/>
  <c r="Q31" i="9" s="1"/>
  <c r="P34" i="10"/>
  <c r="P24" i="9"/>
  <c r="Q24" i="9" s="1"/>
  <c r="P23" i="9"/>
  <c r="Q23" i="9" s="1"/>
  <c r="P22" i="9"/>
  <c r="Q22" i="9" s="1"/>
  <c r="P21" i="9"/>
  <c r="Q21" i="9" s="1"/>
  <c r="P20" i="9"/>
  <c r="Q20" i="9" s="1"/>
  <c r="P19" i="9"/>
  <c r="Q19" i="9" s="1"/>
  <c r="P18" i="9"/>
  <c r="Q18" i="9" s="1"/>
  <c r="P17" i="9"/>
  <c r="Q17" i="9" s="1"/>
  <c r="P16" i="9"/>
  <c r="Q16" i="9" s="1"/>
  <c r="P15" i="9"/>
  <c r="Q15" i="9" s="1"/>
  <c r="P14" i="9"/>
  <c r="Q14" i="9" s="1"/>
  <c r="P13" i="9"/>
  <c r="Q13" i="9" s="1"/>
  <c r="P12" i="9"/>
  <c r="Q12" i="9" s="1"/>
  <c r="P11" i="9"/>
  <c r="Q11" i="9" s="1"/>
  <c r="P10" i="9"/>
  <c r="Q10" i="9" s="1"/>
  <c r="P9" i="9"/>
  <c r="Q9" i="9" s="1"/>
  <c r="P8" i="9"/>
  <c r="Q8" i="9" s="1"/>
  <c r="M71" i="8"/>
  <c r="K71" i="8"/>
  <c r="I71" i="8"/>
  <c r="G71" i="8"/>
  <c r="E71" i="8"/>
  <c r="C71" i="8"/>
  <c r="M70" i="8"/>
  <c r="K70" i="8"/>
  <c r="I70" i="8"/>
  <c r="G70" i="8"/>
  <c r="E70" i="8"/>
  <c r="C70" i="8"/>
  <c r="M69" i="8"/>
  <c r="K69" i="8"/>
  <c r="I69" i="8"/>
  <c r="G69" i="8"/>
  <c r="E69" i="8"/>
  <c r="C69" i="8"/>
  <c r="M68" i="8"/>
  <c r="I68" i="8"/>
  <c r="G68" i="8"/>
  <c r="E68" i="8"/>
  <c r="C68" i="8"/>
  <c r="M67" i="8"/>
  <c r="K67" i="8"/>
  <c r="I67" i="8"/>
  <c r="G67" i="8"/>
  <c r="E67" i="8"/>
  <c r="C67" i="8"/>
  <c r="M66" i="8"/>
  <c r="K66" i="8"/>
  <c r="I66" i="8"/>
  <c r="G66" i="8"/>
  <c r="E66" i="8"/>
  <c r="C66" i="8"/>
  <c r="M63" i="8"/>
  <c r="K63" i="8"/>
  <c r="I63" i="8"/>
  <c r="G63" i="8"/>
  <c r="E63" i="8"/>
  <c r="C63" i="8"/>
  <c r="O59" i="8"/>
  <c r="P59" i="8" s="1"/>
  <c r="Q59" i="8" s="1"/>
  <c r="O58" i="8"/>
  <c r="P58" i="8" s="1"/>
  <c r="Q58" i="8" s="1"/>
  <c r="O57" i="8"/>
  <c r="P57" i="8" s="1"/>
  <c r="Q57" i="8" s="1"/>
  <c r="O56" i="8"/>
  <c r="P56" i="8" s="1"/>
  <c r="Q56" i="8" s="1"/>
  <c r="O55" i="8"/>
  <c r="P55" i="8" s="1"/>
  <c r="Q55" i="8" s="1"/>
  <c r="O54" i="8"/>
  <c r="P54" i="8" s="1"/>
  <c r="Q54" i="8" s="1"/>
  <c r="O53" i="8"/>
  <c r="P53" i="8" s="1"/>
  <c r="Q53" i="8" s="1"/>
  <c r="O52" i="8"/>
  <c r="P52" i="8" s="1"/>
  <c r="Q52" i="8" s="1"/>
  <c r="O64" i="8" s="1"/>
  <c r="O51" i="8"/>
  <c r="P51" i="8" s="1"/>
  <c r="O50" i="8"/>
  <c r="P50" i="8" s="1"/>
  <c r="O49" i="8"/>
  <c r="P49" i="8" s="1"/>
  <c r="O48" i="8"/>
  <c r="P48" i="8" s="1"/>
  <c r="O47" i="8"/>
  <c r="P47" i="8" s="1"/>
  <c r="O46" i="8"/>
  <c r="P46" i="8" s="1"/>
  <c r="O45" i="8"/>
  <c r="P45" i="8" s="1"/>
  <c r="O44" i="8"/>
  <c r="P44" i="8" s="1"/>
  <c r="O43" i="8"/>
  <c r="P43" i="8" s="1"/>
  <c r="O42" i="8"/>
  <c r="P42" i="8" s="1"/>
  <c r="O41" i="8"/>
  <c r="P41" i="8" s="1"/>
  <c r="O40" i="8"/>
  <c r="P40" i="8" s="1"/>
  <c r="O39" i="8"/>
  <c r="P39" i="8" s="1"/>
  <c r="O38" i="8"/>
  <c r="P38" i="8" s="1"/>
  <c r="O37" i="8"/>
  <c r="P37" i="8" s="1"/>
  <c r="O36" i="8"/>
  <c r="P36" i="8" s="1"/>
  <c r="O35" i="8"/>
  <c r="P35" i="8" s="1"/>
  <c r="O34" i="8"/>
  <c r="P34" i="8" s="1"/>
  <c r="O33" i="8"/>
  <c r="P33" i="8" s="1"/>
  <c r="O32" i="8"/>
  <c r="P32" i="8" s="1"/>
  <c r="O31" i="8"/>
  <c r="P31" i="8" s="1"/>
  <c r="O30" i="8"/>
  <c r="P30" i="8" s="1"/>
  <c r="O29" i="8"/>
  <c r="P29" i="8" s="1"/>
  <c r="O28" i="8"/>
  <c r="P28" i="8" s="1"/>
  <c r="O27" i="8"/>
  <c r="P27" i="8" s="1"/>
  <c r="O26" i="8"/>
  <c r="P26" i="8" s="1"/>
  <c r="O25" i="8"/>
  <c r="P25" i="8" s="1"/>
  <c r="O24" i="8"/>
  <c r="P24" i="8" s="1"/>
  <c r="O23" i="8"/>
  <c r="P23" i="8" s="1"/>
  <c r="O31" i="7"/>
  <c r="P31" i="7" s="1"/>
  <c r="O30" i="7"/>
  <c r="P30" i="7" s="1"/>
  <c r="Q30" i="7" s="1"/>
  <c r="O29" i="7"/>
  <c r="P29" i="7" s="1"/>
  <c r="Q29" i="7" s="1"/>
  <c r="O28" i="7"/>
  <c r="P28" i="7" s="1"/>
  <c r="Q28" i="7" s="1"/>
  <c r="O27" i="7"/>
  <c r="P27" i="7" s="1"/>
  <c r="Q27" i="7" s="1"/>
  <c r="O26" i="7"/>
  <c r="P26" i="7" s="1"/>
  <c r="Q26" i="7" s="1"/>
  <c r="O25" i="7"/>
  <c r="P25" i="7" s="1"/>
  <c r="Q25" i="7" s="1"/>
  <c r="O24" i="7"/>
  <c r="P24" i="7" s="1"/>
  <c r="Q24" i="7" s="1"/>
  <c r="O23" i="7"/>
  <c r="P23" i="7" s="1"/>
  <c r="Q23" i="7" s="1"/>
  <c r="O22" i="7"/>
  <c r="P22" i="7" s="1"/>
  <c r="Q22" i="7" s="1"/>
  <c r="P21" i="7"/>
  <c r="Q21" i="7" s="1"/>
  <c r="Q15" i="20"/>
  <c r="R15" i="20" s="1"/>
  <c r="G58" i="19"/>
  <c r="C58" i="19"/>
  <c r="I57" i="19"/>
  <c r="C57" i="19"/>
  <c r="I56" i="19"/>
  <c r="K55" i="19"/>
  <c r="I54" i="19"/>
  <c r="M53" i="19"/>
  <c r="M51" i="19" s="1"/>
  <c r="E53" i="19"/>
  <c r="E51" i="19" s="1"/>
  <c r="E52" i="19" s="1"/>
  <c r="M54" i="14"/>
  <c r="E54" i="14"/>
  <c r="S42" i="11"/>
  <c r="Q39" i="11"/>
  <c r="R39" i="11" s="1"/>
  <c r="S39" i="11" s="1"/>
  <c r="I65" i="10"/>
  <c r="G62" i="10"/>
  <c r="O21" i="10"/>
  <c r="P21" i="10" s="1"/>
  <c r="O16" i="10"/>
  <c r="P16" i="10" s="1"/>
  <c r="O14" i="10"/>
  <c r="P14" i="10" s="1"/>
  <c r="O12" i="10"/>
  <c r="P12" i="10" s="1"/>
  <c r="O10" i="10"/>
  <c r="P10" i="10" s="1"/>
  <c r="N64" i="9"/>
  <c r="F62" i="9"/>
  <c r="L60" i="9"/>
  <c r="P44" i="9"/>
  <c r="Q44" i="9" s="1"/>
  <c r="P33" i="9"/>
  <c r="Q33" i="9" s="1"/>
  <c r="O22" i="8"/>
  <c r="P22" i="8" s="1"/>
  <c r="O21" i="8"/>
  <c r="P21" i="8" s="1"/>
  <c r="O20" i="8"/>
  <c r="P20" i="8" s="1"/>
  <c r="O19" i="8"/>
  <c r="P19" i="8" s="1"/>
  <c r="O18" i="8"/>
  <c r="P18" i="8" s="1"/>
  <c r="O17" i="8"/>
  <c r="P17" i="8" s="1"/>
  <c r="O16" i="8"/>
  <c r="P16" i="8" s="1"/>
  <c r="O15" i="8"/>
  <c r="P15" i="8" s="1"/>
  <c r="O14" i="8"/>
  <c r="P14" i="8" s="1"/>
  <c r="O13" i="8"/>
  <c r="P13" i="8" s="1"/>
  <c r="O12" i="8"/>
  <c r="P12" i="8" s="1"/>
  <c r="O11" i="8"/>
  <c r="P11" i="8" s="1"/>
  <c r="O10" i="8"/>
  <c r="P10" i="8" s="1"/>
  <c r="O9" i="8"/>
  <c r="P9" i="8" s="1"/>
  <c r="O8" i="8"/>
  <c r="P8" i="8" s="1"/>
  <c r="M74" i="7"/>
  <c r="K74" i="7"/>
  <c r="I74" i="7"/>
  <c r="G74" i="7"/>
  <c r="E74" i="7"/>
  <c r="C74" i="7"/>
  <c r="M73" i="7"/>
  <c r="K73" i="7"/>
  <c r="I73" i="7"/>
  <c r="G73" i="7"/>
  <c r="E73" i="7"/>
  <c r="C73" i="7"/>
  <c r="M72" i="7"/>
  <c r="K72" i="7"/>
  <c r="I72" i="7"/>
  <c r="G72" i="7"/>
  <c r="E72" i="7"/>
  <c r="C72" i="7"/>
  <c r="M71" i="7"/>
  <c r="K71" i="7"/>
  <c r="I71" i="7"/>
  <c r="G71" i="7"/>
  <c r="E71" i="7"/>
  <c r="C71" i="7"/>
  <c r="M70" i="7"/>
  <c r="K70" i="7"/>
  <c r="I70" i="7"/>
  <c r="G70" i="7"/>
  <c r="E70" i="7"/>
  <c r="C70" i="7"/>
  <c r="M69" i="7"/>
  <c r="K69" i="7"/>
  <c r="I69" i="7"/>
  <c r="G69" i="7"/>
  <c r="E69" i="7"/>
  <c r="C69" i="7"/>
  <c r="M66" i="7"/>
  <c r="K66" i="7"/>
  <c r="I66" i="7"/>
  <c r="G66" i="7"/>
  <c r="E66" i="7"/>
  <c r="C66" i="7"/>
  <c r="M65" i="7"/>
  <c r="K65" i="7"/>
  <c r="I65" i="7"/>
  <c r="G65" i="7"/>
  <c r="E65" i="7"/>
  <c r="C65" i="7"/>
  <c r="O52" i="7"/>
  <c r="P52" i="7" s="1"/>
  <c r="O51" i="7"/>
  <c r="P51" i="7" s="1"/>
  <c r="Q51" i="7" s="1"/>
  <c r="O50" i="7"/>
  <c r="P50" i="7" s="1"/>
  <c r="Q50" i="7" s="1"/>
  <c r="O49" i="7"/>
  <c r="P49" i="7" s="1"/>
  <c r="Q49" i="7" s="1"/>
  <c r="O48" i="7"/>
  <c r="P48" i="7" s="1"/>
  <c r="Q48" i="7" s="1"/>
  <c r="O47" i="7"/>
  <c r="P47" i="7" s="1"/>
  <c r="Q47" i="7" s="1"/>
  <c r="O46" i="7"/>
  <c r="P46" i="7" s="1"/>
  <c r="Q46" i="7" s="1"/>
  <c r="O44" i="7"/>
  <c r="P44" i="7" s="1"/>
  <c r="Q44" i="7" s="1"/>
  <c r="O43" i="7"/>
  <c r="P43" i="7" s="1"/>
  <c r="Q43" i="7" s="1"/>
  <c r="O42" i="7"/>
  <c r="P42" i="7" s="1"/>
  <c r="Q42" i="7" s="1"/>
  <c r="O41" i="7"/>
  <c r="P41" i="7" s="1"/>
  <c r="Q41" i="7" s="1"/>
  <c r="O40" i="7"/>
  <c r="P40" i="7" s="1"/>
  <c r="Q40" i="7" s="1"/>
  <c r="O39" i="7"/>
  <c r="P39" i="7" s="1"/>
  <c r="Q39" i="7" s="1"/>
  <c r="O38" i="7"/>
  <c r="P38" i="7" s="1"/>
  <c r="Q38" i="7" s="1"/>
  <c r="O37" i="7"/>
  <c r="P37" i="7" s="1"/>
  <c r="Q37" i="7" s="1"/>
  <c r="O36" i="7"/>
  <c r="P36" i="7" s="1"/>
  <c r="Q36" i="7" s="1"/>
  <c r="O35" i="7"/>
  <c r="P35" i="7" s="1"/>
  <c r="Q35" i="7" s="1"/>
  <c r="O34" i="7"/>
  <c r="P34" i="7" s="1"/>
  <c r="Q34" i="7" s="1"/>
  <c r="O33" i="7"/>
  <c r="P33" i="7" s="1"/>
  <c r="Q33" i="7" s="1"/>
  <c r="O32" i="7"/>
  <c r="P32" i="7" s="1"/>
  <c r="Q32" i="7" s="1"/>
  <c r="O20" i="7"/>
  <c r="P20" i="7" s="1"/>
  <c r="Q20" i="7" s="1"/>
  <c r="O19" i="7"/>
  <c r="P19" i="7" s="1"/>
  <c r="Q19" i="7" s="1"/>
  <c r="O18" i="7"/>
  <c r="P18" i="7" s="1"/>
  <c r="Q18" i="7" s="1"/>
  <c r="O17" i="7"/>
  <c r="P17" i="7" s="1"/>
  <c r="Q17" i="7" s="1"/>
  <c r="O16" i="7"/>
  <c r="P16" i="7" s="1"/>
  <c r="Q16" i="7" s="1"/>
  <c r="O15" i="7"/>
  <c r="P15" i="7" s="1"/>
  <c r="Q15" i="7" s="1"/>
  <c r="O14" i="7"/>
  <c r="P14" i="7" s="1"/>
  <c r="Q14" i="7" s="1"/>
  <c r="O13" i="7"/>
  <c r="P13" i="7" s="1"/>
  <c r="Q13" i="7" s="1"/>
  <c r="O12" i="7"/>
  <c r="P12" i="7" s="1"/>
  <c r="Q12" i="7" s="1"/>
  <c r="O11" i="7"/>
  <c r="P11" i="7" s="1"/>
  <c r="Q11" i="7" s="1"/>
  <c r="O10" i="7"/>
  <c r="P10" i="7" s="1"/>
  <c r="Q10" i="7" s="1"/>
  <c r="O9" i="7"/>
  <c r="P9" i="7" s="1"/>
  <c r="Q9" i="7" s="1"/>
  <c r="O8" i="7"/>
  <c r="P8" i="7" s="1"/>
  <c r="Q84" i="6"/>
  <c r="M83" i="6"/>
  <c r="K83" i="6"/>
  <c r="I83" i="6"/>
  <c r="G83" i="6"/>
  <c r="E83" i="6"/>
  <c r="C83" i="6"/>
  <c r="M82" i="6"/>
  <c r="K82" i="6"/>
  <c r="I82" i="6"/>
  <c r="G82" i="6"/>
  <c r="E82" i="6"/>
  <c r="C82" i="6"/>
  <c r="M81" i="6"/>
  <c r="K81" i="6"/>
  <c r="I81" i="6"/>
  <c r="G81" i="6"/>
  <c r="E81" i="6"/>
  <c r="C81" i="6"/>
  <c r="M80" i="6"/>
  <c r="K80" i="6"/>
  <c r="I80" i="6"/>
  <c r="G80" i="6"/>
  <c r="E80" i="6"/>
  <c r="C80" i="6"/>
  <c r="M79" i="6"/>
  <c r="K79" i="6"/>
  <c r="I79" i="6"/>
  <c r="G79" i="6"/>
  <c r="E79" i="6"/>
  <c r="C79" i="6"/>
  <c r="M78" i="6"/>
  <c r="K78" i="6"/>
  <c r="I78" i="6"/>
  <c r="G78" i="6"/>
  <c r="E78" i="6"/>
  <c r="C78" i="6"/>
  <c r="M75" i="6"/>
  <c r="K75" i="6"/>
  <c r="I75" i="6"/>
  <c r="G75" i="6"/>
  <c r="E75" i="6"/>
  <c r="C75" i="6"/>
  <c r="M74" i="6"/>
  <c r="P71" i="6"/>
  <c r="Q71" i="6" s="1"/>
  <c r="P70" i="6"/>
  <c r="Q70" i="6" s="1"/>
  <c r="P69" i="6"/>
  <c r="Q69" i="6" s="1"/>
  <c r="P68" i="6"/>
  <c r="Q68" i="6" s="1"/>
  <c r="P67" i="6"/>
  <c r="Q67" i="6" s="1"/>
  <c r="P66" i="6"/>
  <c r="Q66" i="6" s="1"/>
  <c r="P65" i="6"/>
  <c r="Q65" i="6" s="1"/>
  <c r="P64" i="6"/>
  <c r="Q64" i="6" s="1"/>
  <c r="P63" i="6"/>
  <c r="Q63" i="6" s="1"/>
  <c r="P61" i="6"/>
  <c r="Q61" i="6" s="1"/>
  <c r="P60" i="6"/>
  <c r="Q60" i="6" s="1"/>
  <c r="P59" i="6"/>
  <c r="Q59" i="6" s="1"/>
  <c r="O54" i="6"/>
  <c r="P54" i="6" s="1"/>
  <c r="Q54" i="6" s="1"/>
  <c r="O53" i="6"/>
  <c r="P53" i="6" s="1"/>
  <c r="O52" i="6"/>
  <c r="P52" i="6" s="1"/>
  <c r="Q52" i="6" s="1"/>
  <c r="O51" i="6"/>
  <c r="P51" i="6" s="1"/>
  <c r="O50" i="6"/>
  <c r="P50" i="6" s="1"/>
  <c r="Q50" i="6" s="1"/>
  <c r="O49" i="6"/>
  <c r="P49" i="6" s="1"/>
  <c r="Q49" i="6" s="1"/>
  <c r="O47" i="6"/>
  <c r="P47" i="6" s="1"/>
  <c r="Q47" i="6" s="1"/>
  <c r="O46" i="6"/>
  <c r="P46" i="6" s="1"/>
  <c r="Q46" i="6" s="1"/>
  <c r="O45" i="6"/>
  <c r="P45" i="6" s="1"/>
  <c r="Q45" i="6" s="1"/>
  <c r="O44" i="6"/>
  <c r="P44" i="6" s="1"/>
  <c r="Q44" i="6" s="1"/>
  <c r="O43" i="6"/>
  <c r="P43" i="6" s="1"/>
  <c r="Q43" i="6" s="1"/>
  <c r="O42" i="6"/>
  <c r="P42" i="6" s="1"/>
  <c r="Q42" i="6" s="1"/>
  <c r="O41" i="6"/>
  <c r="P41" i="6" s="1"/>
  <c r="Q41" i="6" s="1"/>
  <c r="O40" i="6"/>
  <c r="P40" i="6" s="1"/>
  <c r="Q40" i="6" s="1"/>
  <c r="O39" i="6"/>
  <c r="P39" i="6" s="1"/>
  <c r="Q39" i="6" s="1"/>
  <c r="O38" i="6"/>
  <c r="P38" i="6" s="1"/>
  <c r="Q38" i="6" s="1"/>
  <c r="O37" i="6"/>
  <c r="P37" i="6" s="1"/>
  <c r="Q37" i="6" s="1"/>
  <c r="O36" i="6"/>
  <c r="P36" i="6" s="1"/>
  <c r="Q36" i="6" s="1"/>
  <c r="O35" i="6"/>
  <c r="P35" i="6" s="1"/>
  <c r="Q35" i="6" s="1"/>
  <c r="O34" i="6"/>
  <c r="P34" i="6" s="1"/>
  <c r="Q34" i="6" s="1"/>
  <c r="O33" i="6"/>
  <c r="P33" i="6" s="1"/>
  <c r="Q33" i="6" s="1"/>
  <c r="O32" i="6"/>
  <c r="P32" i="6" s="1"/>
  <c r="Q32" i="6" s="1"/>
  <c r="O31" i="6"/>
  <c r="P31" i="6" s="1"/>
  <c r="Q31" i="6" s="1"/>
  <c r="Q11" i="20"/>
  <c r="R11" i="20" s="1"/>
  <c r="Q10" i="20"/>
  <c r="R10" i="20" s="1"/>
  <c r="Q8" i="20"/>
  <c r="R8" i="20" s="1"/>
  <c r="M58" i="19"/>
  <c r="O57" i="19"/>
  <c r="C56" i="19"/>
  <c r="E55" i="19"/>
  <c r="K54" i="19"/>
  <c r="K53" i="19"/>
  <c r="K51" i="19" s="1"/>
  <c r="K52" i="19" s="1"/>
  <c r="C53" i="19"/>
  <c r="C51" i="19" s="1"/>
  <c r="Q41" i="19"/>
  <c r="R41" i="19" s="1"/>
  <c r="O54" i="14"/>
  <c r="G54" i="14"/>
  <c r="E52" i="14"/>
  <c r="O30" i="6"/>
  <c r="P30" i="6" s="1"/>
  <c r="Q30" i="6" s="1"/>
  <c r="O29" i="6"/>
  <c r="P29" i="6" s="1"/>
  <c r="Q29" i="6" s="1"/>
  <c r="O28" i="6"/>
  <c r="P28" i="6" s="1"/>
  <c r="Q28" i="6" s="1"/>
  <c r="O27" i="6"/>
  <c r="P27" i="6" s="1"/>
  <c r="Q27" i="6" s="1"/>
  <c r="O26" i="6"/>
  <c r="P26" i="6" s="1"/>
  <c r="O25" i="6"/>
  <c r="P25" i="6" s="1"/>
  <c r="Q25" i="6" s="1"/>
  <c r="O24" i="6"/>
  <c r="P24" i="6" s="1"/>
  <c r="Q24" i="6" s="1"/>
  <c r="O23" i="6"/>
  <c r="P23" i="6" s="1"/>
  <c r="Q23" i="6" s="1"/>
  <c r="O22" i="6"/>
  <c r="P22" i="6" s="1"/>
  <c r="O21" i="6"/>
  <c r="P21" i="6" s="1"/>
  <c r="Q21" i="6" s="1"/>
  <c r="O20" i="6"/>
  <c r="P20" i="6" s="1"/>
  <c r="Q20" i="6" s="1"/>
  <c r="O19" i="6"/>
  <c r="P19" i="6" s="1"/>
  <c r="O18" i="6"/>
  <c r="P18" i="6" s="1"/>
  <c r="Q18" i="6" s="1"/>
  <c r="O17" i="6"/>
  <c r="P17" i="6" s="1"/>
  <c r="O16" i="6"/>
  <c r="P16" i="6" s="1"/>
  <c r="Q16" i="6" s="1"/>
  <c r="O15" i="6"/>
  <c r="P15" i="6" s="1"/>
  <c r="Q15" i="6" s="1"/>
  <c r="O14" i="6"/>
  <c r="P14" i="6" s="1"/>
  <c r="Q14" i="6" s="1"/>
  <c r="O13" i="6"/>
  <c r="P13" i="6" s="1"/>
  <c r="Q13" i="6" s="1"/>
  <c r="O12" i="6"/>
  <c r="P12" i="6" s="1"/>
  <c r="Q12" i="6" s="1"/>
  <c r="O11" i="6"/>
  <c r="P11" i="6" s="1"/>
  <c r="Q11" i="6" s="1"/>
  <c r="O10" i="6"/>
  <c r="P10" i="6" s="1"/>
  <c r="Q10" i="6" s="1"/>
  <c r="O9" i="6"/>
  <c r="P9" i="6" s="1"/>
  <c r="O8" i="6"/>
  <c r="P8" i="6" s="1"/>
  <c r="M73" i="5"/>
  <c r="K73" i="5"/>
  <c r="I73" i="5"/>
  <c r="G73" i="5"/>
  <c r="E73" i="5"/>
  <c r="C73" i="5"/>
  <c r="M72" i="5"/>
  <c r="K72" i="5"/>
  <c r="I72" i="5"/>
  <c r="G72" i="5"/>
  <c r="E72" i="5"/>
  <c r="C72" i="5"/>
  <c r="M71" i="5"/>
  <c r="K71" i="5"/>
  <c r="I71" i="5"/>
  <c r="G71" i="5"/>
  <c r="E71" i="5"/>
  <c r="C71" i="5"/>
  <c r="M70" i="5"/>
  <c r="K70" i="5"/>
  <c r="I70" i="5"/>
  <c r="G70" i="5"/>
  <c r="E70" i="5"/>
  <c r="C70" i="5"/>
  <c r="M69" i="5"/>
  <c r="K69" i="5"/>
  <c r="I69" i="5"/>
  <c r="G69" i="5"/>
  <c r="E69" i="5"/>
  <c r="C69" i="5"/>
  <c r="M68" i="5"/>
  <c r="K68" i="5"/>
  <c r="I68" i="5"/>
  <c r="G68" i="5"/>
  <c r="E68" i="5"/>
  <c r="C68" i="5"/>
  <c r="M65" i="5"/>
  <c r="K65" i="5"/>
  <c r="I65" i="5"/>
  <c r="G65" i="5"/>
  <c r="E65" i="5"/>
  <c r="C65" i="5"/>
  <c r="M64" i="5"/>
  <c r="I64" i="5"/>
  <c r="G64" i="5"/>
  <c r="E64" i="5"/>
  <c r="C64" i="5"/>
  <c r="O51" i="5"/>
  <c r="P51" i="5" s="1"/>
  <c r="O50" i="5"/>
  <c r="P50" i="5" s="1"/>
  <c r="O49" i="5"/>
  <c r="P49" i="5" s="1"/>
  <c r="O48" i="5"/>
  <c r="P48" i="5" s="1"/>
  <c r="O47" i="5"/>
  <c r="P47" i="5" s="1"/>
  <c r="O46" i="5"/>
  <c r="P46" i="5" s="1"/>
  <c r="O45" i="5"/>
  <c r="P45" i="5" s="1"/>
  <c r="O44" i="5"/>
  <c r="P44" i="5" s="1"/>
  <c r="O43" i="5"/>
  <c r="P43" i="5" s="1"/>
  <c r="O42" i="5"/>
  <c r="P42" i="5" s="1"/>
  <c r="O41" i="5"/>
  <c r="P41" i="5" s="1"/>
  <c r="O40" i="5"/>
  <c r="P40" i="5" s="1"/>
  <c r="O39" i="5"/>
  <c r="P39" i="5" s="1"/>
  <c r="O38" i="5"/>
  <c r="P38" i="5" s="1"/>
  <c r="O37" i="5"/>
  <c r="P37" i="5" s="1"/>
  <c r="O36" i="5"/>
  <c r="P36" i="5" s="1"/>
  <c r="O35" i="5"/>
  <c r="P35" i="5" s="1"/>
  <c r="O34" i="5"/>
  <c r="P34" i="5" s="1"/>
  <c r="O33" i="5"/>
  <c r="P33" i="5" s="1"/>
  <c r="O32" i="5"/>
  <c r="P32" i="5" s="1"/>
  <c r="O31" i="5"/>
  <c r="P31" i="5" s="1"/>
  <c r="T56" i="3"/>
  <c r="R56" i="3"/>
  <c r="P56" i="3"/>
  <c r="N56" i="3"/>
  <c r="L56" i="3"/>
  <c r="C56" i="3"/>
  <c r="R55" i="3"/>
  <c r="N55" i="3"/>
  <c r="L55" i="3"/>
  <c r="C55" i="3"/>
  <c r="V48" i="3"/>
  <c r="W48" i="3" s="1"/>
  <c r="V47" i="3"/>
  <c r="W47" i="3" s="1"/>
  <c r="V46" i="3"/>
  <c r="W46" i="3" s="1"/>
  <c r="V45" i="3"/>
  <c r="W45" i="3" s="1"/>
  <c r="V44" i="3"/>
  <c r="W44" i="3" s="1"/>
  <c r="V43" i="3"/>
  <c r="W43" i="3" s="1"/>
  <c r="V42" i="3"/>
  <c r="W42" i="3" s="1"/>
  <c r="V41" i="3"/>
  <c r="W41" i="3" s="1"/>
  <c r="V40" i="3"/>
  <c r="W40" i="3" s="1"/>
  <c r="V39" i="3"/>
  <c r="W39" i="3" s="1"/>
  <c r="V38" i="3"/>
  <c r="W38" i="3" s="1"/>
  <c r="V37" i="3"/>
  <c r="W37" i="3" s="1"/>
  <c r="V36" i="3"/>
  <c r="W36" i="3" s="1"/>
  <c r="V35" i="3"/>
  <c r="W35" i="3" s="1"/>
  <c r="V34" i="3"/>
  <c r="W34" i="3" s="1"/>
  <c r="V33" i="3"/>
  <c r="W33" i="3" s="1"/>
  <c r="V32" i="3"/>
  <c r="W32" i="3" s="1"/>
  <c r="V31" i="3"/>
  <c r="W31" i="3" s="1"/>
  <c r="V30" i="3"/>
  <c r="W30" i="3" s="1"/>
  <c r="V29" i="3"/>
  <c r="W29" i="3" s="1"/>
  <c r="V28" i="3"/>
  <c r="W28" i="3" s="1"/>
  <c r="V27" i="3"/>
  <c r="W27" i="3" s="1"/>
  <c r="V26" i="3"/>
  <c r="W26" i="3" s="1"/>
  <c r="V25" i="3"/>
  <c r="W25" i="3" s="1"/>
  <c r="V24" i="3"/>
  <c r="W24" i="3" s="1"/>
  <c r="V23" i="3"/>
  <c r="W23" i="3" s="1"/>
  <c r="V22" i="3"/>
  <c r="W22" i="3" s="1"/>
  <c r="V21" i="3"/>
  <c r="W21" i="3" s="1"/>
  <c r="Q26" i="20"/>
  <c r="R26" i="20" s="1"/>
  <c r="Q22" i="20"/>
  <c r="R22" i="20" s="1"/>
  <c r="Q20" i="20"/>
  <c r="R20" i="20" s="1"/>
  <c r="Q19" i="20"/>
  <c r="R19" i="20" s="1"/>
  <c r="Q17" i="20"/>
  <c r="R17" i="20" s="1"/>
  <c r="Q16" i="20"/>
  <c r="R16" i="20" s="1"/>
  <c r="Q13" i="20"/>
  <c r="R13" i="20" s="1"/>
  <c r="Q12" i="20"/>
  <c r="R12" i="20" s="1"/>
  <c r="Q9" i="20"/>
  <c r="R9" i="20" s="1"/>
  <c r="K58" i="19"/>
  <c r="E58" i="19"/>
  <c r="K57" i="19"/>
  <c r="E57" i="19"/>
  <c r="O56" i="19"/>
  <c r="G56" i="19"/>
  <c r="O55" i="19"/>
  <c r="G55" i="19"/>
  <c r="C55" i="19"/>
  <c r="G54" i="19"/>
  <c r="E54" i="19"/>
  <c r="I53" i="19"/>
  <c r="I51" i="19" s="1"/>
  <c r="I52" i="19"/>
  <c r="Q42" i="19"/>
  <c r="R42" i="19" s="1"/>
  <c r="G52" i="14"/>
  <c r="Q41" i="11"/>
  <c r="R41" i="11" s="1"/>
  <c r="S41" i="11" s="1"/>
  <c r="I66" i="10"/>
  <c r="O41" i="10"/>
  <c r="P41" i="10" s="1"/>
  <c r="O40" i="10"/>
  <c r="P40" i="10" s="1"/>
  <c r="O39" i="10"/>
  <c r="P39" i="10" s="1"/>
  <c r="O38" i="10"/>
  <c r="P38" i="10" s="1"/>
  <c r="O22" i="10"/>
  <c r="P22" i="10" s="1"/>
  <c r="O20" i="10"/>
  <c r="P20" i="10" s="1"/>
  <c r="O18" i="10"/>
  <c r="P18" i="10" s="1"/>
  <c r="O11" i="10"/>
  <c r="P11" i="10" s="1"/>
  <c r="C64" i="9"/>
  <c r="C63" i="9"/>
  <c r="J61" i="9"/>
  <c r="H60" i="9"/>
  <c r="F56" i="9"/>
  <c r="P48" i="9"/>
  <c r="Q48" i="9" s="1"/>
  <c r="P37" i="9"/>
  <c r="Q37" i="9" s="1"/>
  <c r="P30" i="9"/>
  <c r="Q30" i="9" s="1"/>
  <c r="O30" i="5"/>
  <c r="P30" i="5" s="1"/>
  <c r="O29" i="5"/>
  <c r="P29" i="5" s="1"/>
  <c r="O28" i="5"/>
  <c r="P28" i="5" s="1"/>
  <c r="O27" i="5"/>
  <c r="P27" i="5" s="1"/>
  <c r="O26" i="5"/>
  <c r="P26" i="5" s="1"/>
  <c r="O25" i="5"/>
  <c r="P25" i="5" s="1"/>
  <c r="O24" i="5"/>
  <c r="P24" i="5" s="1"/>
  <c r="O23" i="5"/>
  <c r="P23" i="5" s="1"/>
  <c r="O22" i="5"/>
  <c r="P22" i="5" s="1"/>
  <c r="O21" i="5"/>
  <c r="P21" i="5" s="1"/>
  <c r="O20" i="5"/>
  <c r="P20" i="5" s="1"/>
  <c r="O19" i="5"/>
  <c r="P19" i="5" s="1"/>
  <c r="O18" i="5"/>
  <c r="P18" i="5" s="1"/>
  <c r="O17" i="5"/>
  <c r="P17" i="5" s="1"/>
  <c r="O16" i="5"/>
  <c r="P16" i="5" s="1"/>
  <c r="O15" i="5"/>
  <c r="P15" i="5" s="1"/>
  <c r="O14" i="5"/>
  <c r="P14" i="5" s="1"/>
  <c r="O13" i="5"/>
  <c r="P13" i="5" s="1"/>
  <c r="O12" i="5"/>
  <c r="P12" i="5" s="1"/>
  <c r="O11" i="5"/>
  <c r="P11" i="5" s="1"/>
  <c r="O10" i="5"/>
  <c r="P10" i="5" s="1"/>
  <c r="O9" i="5"/>
  <c r="P9" i="5" s="1"/>
  <c r="O8" i="5"/>
  <c r="P8" i="5" s="1"/>
  <c r="T64" i="3"/>
  <c r="R64" i="3"/>
  <c r="P64" i="3"/>
  <c r="N64" i="3"/>
  <c r="L64" i="3"/>
  <c r="C64" i="3"/>
  <c r="T63" i="3"/>
  <c r="R63" i="3"/>
  <c r="P63" i="3"/>
  <c r="N63" i="3"/>
  <c r="L63" i="3"/>
  <c r="C63" i="3"/>
  <c r="T62" i="3"/>
  <c r="R62" i="3"/>
  <c r="P62" i="3"/>
  <c r="N62" i="3"/>
  <c r="L62" i="3"/>
  <c r="C62" i="3"/>
  <c r="T61" i="3"/>
  <c r="R61" i="3"/>
  <c r="P61" i="3"/>
  <c r="N61" i="3"/>
  <c r="L61" i="3"/>
  <c r="C61" i="3"/>
  <c r="T60" i="3"/>
  <c r="R60" i="3"/>
  <c r="P60" i="3"/>
  <c r="N60" i="3"/>
  <c r="L60" i="3"/>
  <c r="C60" i="3"/>
  <c r="T59" i="3"/>
  <c r="R59" i="3"/>
  <c r="P59" i="3"/>
  <c r="N59" i="3"/>
  <c r="L59" i="3"/>
  <c r="C59" i="3"/>
  <c r="T55" i="3"/>
  <c r="P55" i="3"/>
  <c r="I62" i="10"/>
  <c r="O28" i="10"/>
  <c r="P28" i="10" s="1"/>
  <c r="O13" i="10"/>
  <c r="P13" i="10" s="1"/>
  <c r="N63" i="9"/>
  <c r="N61" i="9"/>
  <c r="C60" i="9"/>
  <c r="N56" i="9"/>
  <c r="P25" i="9"/>
  <c r="Q25" i="9" s="1"/>
  <c r="V20" i="3"/>
  <c r="W20" i="3" s="1"/>
  <c r="V19" i="3"/>
  <c r="W19" i="3" s="1"/>
  <c r="V18" i="3"/>
  <c r="W18" i="3" s="1"/>
  <c r="V17" i="3"/>
  <c r="W17" i="3" s="1"/>
  <c r="V16" i="3"/>
  <c r="W16" i="3" s="1"/>
  <c r="V15" i="3"/>
  <c r="W15" i="3" s="1"/>
  <c r="V14" i="3"/>
  <c r="W14" i="3" s="1"/>
  <c r="V13" i="3"/>
  <c r="W13" i="3" s="1"/>
  <c r="V12" i="3"/>
  <c r="W12" i="3" s="1"/>
  <c r="V11" i="3"/>
  <c r="W11" i="3" s="1"/>
  <c r="V10" i="3"/>
  <c r="W10" i="3" s="1"/>
  <c r="V9" i="3"/>
  <c r="W9" i="3" s="1"/>
  <c r="V8" i="3"/>
  <c r="W8" i="3" s="1"/>
  <c r="N71" i="2"/>
  <c r="K71" i="2"/>
  <c r="I71" i="2"/>
  <c r="G71" i="2"/>
  <c r="E71" i="2"/>
  <c r="C71" i="2"/>
  <c r="N70" i="2"/>
  <c r="K70" i="2"/>
  <c r="I70" i="2"/>
  <c r="G70" i="2"/>
  <c r="E70" i="2"/>
  <c r="C70" i="2"/>
  <c r="N69" i="2"/>
  <c r="K69" i="2"/>
  <c r="I69" i="2"/>
  <c r="G69" i="2"/>
  <c r="E69" i="2"/>
  <c r="C69" i="2"/>
  <c r="N68" i="2"/>
  <c r="K68" i="2"/>
  <c r="I68" i="2"/>
  <c r="G68" i="2"/>
  <c r="E68" i="2"/>
  <c r="C68" i="2"/>
  <c r="N67" i="2"/>
  <c r="K67" i="2"/>
  <c r="I67" i="2"/>
  <c r="G67" i="2"/>
  <c r="E67" i="2"/>
  <c r="C67" i="2"/>
  <c r="N66" i="2"/>
  <c r="K66" i="2"/>
  <c r="I66" i="2"/>
  <c r="G66" i="2"/>
  <c r="E66" i="2"/>
  <c r="C66" i="2"/>
  <c r="N63" i="2"/>
  <c r="K63" i="2"/>
  <c r="I63" i="2"/>
  <c r="G63" i="2"/>
  <c r="E63" i="2"/>
  <c r="C63" i="2"/>
  <c r="Q59" i="2"/>
  <c r="R59" i="2" s="1"/>
  <c r="P64" i="2" s="1"/>
  <c r="P52" i="2"/>
  <c r="Q52" i="2" s="1"/>
  <c r="P51" i="2"/>
  <c r="Q51" i="2" s="1"/>
  <c r="P50" i="2"/>
  <c r="Q50" i="2" s="1"/>
  <c r="P49" i="2"/>
  <c r="Q49" i="2" s="1"/>
  <c r="P48" i="2"/>
  <c r="Q48" i="2" s="1"/>
  <c r="P47" i="2"/>
  <c r="Q47" i="2" s="1"/>
  <c r="P46" i="2"/>
  <c r="Q46" i="2" s="1"/>
  <c r="P45" i="2"/>
  <c r="Q45" i="2" s="1"/>
  <c r="P44" i="2"/>
  <c r="Q44" i="2" s="1"/>
  <c r="P43" i="2"/>
  <c r="Q43" i="2" s="1"/>
  <c r="P42" i="2"/>
  <c r="Q42" i="2" s="1"/>
  <c r="P41" i="2"/>
  <c r="Q41" i="2" s="1"/>
  <c r="P40" i="2"/>
  <c r="Q40" i="2" s="1"/>
  <c r="P39" i="2"/>
  <c r="Q39" i="2" s="1"/>
  <c r="P38" i="2"/>
  <c r="Q38" i="2" s="1"/>
  <c r="P37" i="2"/>
  <c r="Q37" i="2" s="1"/>
  <c r="P36" i="2"/>
  <c r="Q36" i="2" s="1"/>
  <c r="P35" i="2"/>
  <c r="Q35" i="2" s="1"/>
  <c r="P34" i="2"/>
  <c r="Q34" i="2" s="1"/>
  <c r="P33" i="2"/>
  <c r="Q33" i="2" s="1"/>
  <c r="P32" i="2"/>
  <c r="Q32" i="2" s="1"/>
  <c r="P31" i="2"/>
  <c r="Q31" i="2" s="1"/>
  <c r="P30" i="2"/>
  <c r="Q30" i="2" s="1"/>
  <c r="P29" i="2"/>
  <c r="Q29" i="2" s="1"/>
  <c r="P28" i="2"/>
  <c r="Q28" i="2" s="1"/>
  <c r="P27" i="2"/>
  <c r="Q27" i="2" s="1"/>
  <c r="P26" i="2"/>
  <c r="Q26" i="2" s="1"/>
  <c r="P25" i="2"/>
  <c r="Q25" i="2" s="1"/>
  <c r="P24" i="2"/>
  <c r="Q24" i="2" s="1"/>
  <c r="P23" i="2"/>
  <c r="Q23" i="2" s="1"/>
  <c r="P22" i="2"/>
  <c r="Q22" i="2" s="1"/>
  <c r="P21" i="2"/>
  <c r="Q21" i="2" s="1"/>
  <c r="P20" i="2"/>
  <c r="Q20" i="2" s="1"/>
  <c r="P19" i="2"/>
  <c r="Q19" i="2" s="1"/>
  <c r="P18" i="2"/>
  <c r="Q18" i="2" s="1"/>
  <c r="P17" i="2"/>
  <c r="Q17" i="2" s="1"/>
  <c r="P16" i="2"/>
  <c r="Q16" i="2" s="1"/>
  <c r="P15" i="2"/>
  <c r="Q15" i="2" s="1"/>
  <c r="O14" i="1"/>
  <c r="P14" i="1" s="1"/>
  <c r="O13" i="1"/>
  <c r="P13" i="1" s="1"/>
  <c r="O11" i="1"/>
  <c r="P11" i="1" s="1"/>
  <c r="O10" i="1"/>
  <c r="P10" i="1" s="1"/>
  <c r="Q31" i="20"/>
  <c r="R31" i="20" s="1"/>
  <c r="Q29" i="20"/>
  <c r="R29" i="20" s="1"/>
  <c r="R27" i="20"/>
  <c r="Q7" i="20"/>
  <c r="I58" i="19"/>
  <c r="M57" i="19"/>
  <c r="G57" i="19"/>
  <c r="M56" i="19"/>
  <c r="E56" i="19"/>
  <c r="M55" i="19"/>
  <c r="O54" i="19"/>
  <c r="O53" i="19"/>
  <c r="O51" i="19" s="1"/>
  <c r="O52" i="19" s="1"/>
  <c r="G53" i="19"/>
  <c r="G51" i="19" s="1"/>
  <c r="Q51" i="11"/>
  <c r="R51" i="11" s="1"/>
  <c r="S51" i="11" s="1"/>
  <c r="Q50" i="11"/>
  <c r="R50" i="11" s="1"/>
  <c r="S50" i="11" s="1"/>
  <c r="Q49" i="11"/>
  <c r="R49" i="11" s="1"/>
  <c r="Q48" i="11"/>
  <c r="R48" i="11" s="1"/>
  <c r="S48" i="11" s="1"/>
  <c r="Q43" i="11"/>
  <c r="R43" i="11" s="1"/>
  <c r="E66" i="10"/>
  <c r="O31" i="10"/>
  <c r="P31" i="10" s="1"/>
  <c r="O8" i="10"/>
  <c r="P8" i="10" s="1"/>
  <c r="J64" i="9"/>
  <c r="L62" i="9"/>
  <c r="N60" i="9"/>
  <c r="F59" i="9"/>
  <c r="J56" i="9"/>
  <c r="P35" i="9"/>
  <c r="Q35" i="9" s="1"/>
  <c r="P14" i="2"/>
  <c r="Q14" i="2" s="1"/>
  <c r="P13" i="2"/>
  <c r="Q13" i="2" s="1"/>
  <c r="P12" i="2"/>
  <c r="Q12" i="2" s="1"/>
  <c r="P11" i="2"/>
  <c r="Q11" i="2" s="1"/>
  <c r="P10" i="2"/>
  <c r="Q10" i="2" s="1"/>
  <c r="P9" i="2"/>
  <c r="Q9" i="2" s="1"/>
  <c r="P8" i="2"/>
  <c r="Q8" i="2" s="1"/>
  <c r="M67" i="1"/>
  <c r="K67" i="1"/>
  <c r="I67" i="1"/>
  <c r="G67" i="1"/>
  <c r="E67" i="1"/>
  <c r="C67" i="1"/>
  <c r="M66" i="1"/>
  <c r="K66" i="1"/>
  <c r="I66" i="1"/>
  <c r="G66" i="1"/>
  <c r="E66" i="1"/>
  <c r="C66" i="1"/>
  <c r="M65" i="1"/>
  <c r="K65" i="1"/>
  <c r="I65" i="1"/>
  <c r="G65" i="1"/>
  <c r="E65" i="1"/>
  <c r="C65" i="1"/>
  <c r="M64" i="1"/>
  <c r="K64" i="1"/>
  <c r="I64" i="1"/>
  <c r="G64" i="1"/>
  <c r="E64" i="1"/>
  <c r="C64" i="1"/>
  <c r="M63" i="1"/>
  <c r="K63" i="1"/>
  <c r="I63" i="1"/>
  <c r="G63" i="1"/>
  <c r="E63" i="1"/>
  <c r="C63" i="1"/>
  <c r="M62" i="1"/>
  <c r="K62" i="1"/>
  <c r="I62" i="1"/>
  <c r="G62" i="1"/>
  <c r="E62" i="1"/>
  <c r="C62" i="1"/>
  <c r="M59" i="1"/>
  <c r="K59" i="1"/>
  <c r="I59" i="1"/>
  <c r="G59" i="1"/>
  <c r="E59" i="1"/>
  <c r="C59" i="1"/>
  <c r="M58" i="1"/>
  <c r="K58" i="1"/>
  <c r="I58" i="1"/>
  <c r="E58" i="1"/>
  <c r="C58" i="1"/>
  <c r="Q55" i="1"/>
  <c r="Q54" i="1"/>
  <c r="O52" i="1"/>
  <c r="P52" i="1" s="1"/>
  <c r="O51" i="1"/>
  <c r="P51" i="1" s="1"/>
  <c r="O50" i="1"/>
  <c r="P50" i="1" s="1"/>
  <c r="O49" i="1"/>
  <c r="P49" i="1" s="1"/>
  <c r="O48" i="1"/>
  <c r="P48" i="1" s="1"/>
  <c r="O47" i="1"/>
  <c r="P47" i="1" s="1"/>
  <c r="O46" i="1"/>
  <c r="P46" i="1" s="1"/>
  <c r="O45" i="1"/>
  <c r="P45" i="1" s="1"/>
  <c r="O44" i="1"/>
  <c r="P44" i="1" s="1"/>
  <c r="O43" i="1"/>
  <c r="P43" i="1" s="1"/>
  <c r="O42" i="1"/>
  <c r="P42" i="1" s="1"/>
  <c r="O41" i="1"/>
  <c r="P41" i="1" s="1"/>
  <c r="O40" i="1"/>
  <c r="P40" i="1" s="1"/>
  <c r="O39" i="1"/>
  <c r="P39" i="1" s="1"/>
  <c r="O38" i="1"/>
  <c r="P38" i="1" s="1"/>
  <c r="O37" i="1"/>
  <c r="P37" i="1" s="1"/>
  <c r="O36" i="1"/>
  <c r="P36" i="1" s="1"/>
  <c r="O35" i="1"/>
  <c r="P35" i="1" s="1"/>
  <c r="O34" i="1"/>
  <c r="P34" i="1" s="1"/>
  <c r="O33" i="1"/>
  <c r="P33" i="1" s="1"/>
  <c r="O32" i="1"/>
  <c r="P32" i="1" s="1"/>
  <c r="O31" i="1"/>
  <c r="P31" i="1" s="1"/>
  <c r="O30" i="1"/>
  <c r="P30" i="1" s="1"/>
  <c r="O29" i="1"/>
  <c r="P29" i="1" s="1"/>
  <c r="O28" i="1"/>
  <c r="P28" i="1" s="1"/>
  <c r="O27" i="1"/>
  <c r="P27" i="1" s="1"/>
  <c r="O26" i="1"/>
  <c r="P26" i="1" s="1"/>
  <c r="O25" i="1"/>
  <c r="P25" i="1" s="1"/>
  <c r="O24" i="1"/>
  <c r="P24" i="1" s="1"/>
  <c r="O23" i="1"/>
  <c r="P23" i="1" s="1"/>
  <c r="O22" i="1"/>
  <c r="P22" i="1" s="1"/>
  <c r="O21" i="1"/>
  <c r="P21" i="1" s="1"/>
  <c r="O20" i="1"/>
  <c r="P20" i="1" s="1"/>
  <c r="O19" i="1"/>
  <c r="P19" i="1" s="1"/>
  <c r="O18" i="1"/>
  <c r="P18" i="1" s="1"/>
  <c r="O17" i="1"/>
  <c r="P17" i="1" s="1"/>
  <c r="O16" i="1"/>
  <c r="P16" i="1" s="1"/>
  <c r="O15" i="1"/>
  <c r="P15" i="1" s="1"/>
  <c r="O12" i="1"/>
  <c r="P12" i="1" s="1"/>
  <c r="O9" i="1"/>
  <c r="P9" i="1" s="1"/>
  <c r="O8" i="1"/>
  <c r="P8" i="1" s="1"/>
  <c r="Q32" i="20"/>
  <c r="R32" i="20" s="1"/>
  <c r="Q30" i="20"/>
  <c r="R30" i="20" s="1"/>
  <c r="Q28" i="20"/>
  <c r="R28" i="20" s="1"/>
  <c r="Q25" i="20"/>
  <c r="R25" i="20" s="1"/>
  <c r="Q24" i="20"/>
  <c r="R24" i="20" s="1"/>
  <c r="Q23" i="20"/>
  <c r="R23" i="20" s="1"/>
  <c r="Q21" i="20"/>
  <c r="R21" i="20" s="1"/>
  <c r="Q18" i="20"/>
  <c r="R18" i="20" s="1"/>
  <c r="Q14" i="20"/>
  <c r="R14" i="20" s="1"/>
  <c r="O58" i="19"/>
  <c r="K56" i="19"/>
  <c r="I55" i="19"/>
  <c r="M54" i="19"/>
  <c r="C54" i="19"/>
  <c r="G52" i="19"/>
  <c r="S49" i="11"/>
  <c r="Q47" i="11"/>
  <c r="R47" i="11" s="1"/>
  <c r="Q46" i="11"/>
  <c r="R46" i="11" s="1"/>
  <c r="S46" i="11" s="1"/>
  <c r="Q45" i="11"/>
  <c r="R45" i="11" s="1"/>
  <c r="Q44" i="11"/>
  <c r="R44" i="11" s="1"/>
  <c r="G65" i="10"/>
  <c r="O9" i="10"/>
  <c r="P9" i="10" s="1"/>
  <c r="J63" i="9"/>
  <c r="C62" i="9"/>
  <c r="N59" i="9"/>
  <c r="P28" i="9"/>
  <c r="Q28" i="9" s="1"/>
  <c r="P26" i="9"/>
  <c r="Q26" i="9" s="1"/>
  <c r="E48" i="17" l="1"/>
  <c r="M50" i="17"/>
  <c r="I50" i="17"/>
  <c r="E50" i="17"/>
  <c r="E51" i="17"/>
  <c r="O50" i="17"/>
  <c r="K50" i="17"/>
  <c r="G50" i="17"/>
  <c r="C50" i="17"/>
  <c r="C51" i="17"/>
  <c r="K59" i="10"/>
  <c r="L59" i="10" s="1"/>
  <c r="K63" i="10"/>
  <c r="K64" i="10"/>
  <c r="Q53" i="17"/>
  <c r="Q49" i="17"/>
  <c r="Q52" i="17"/>
  <c r="Q54" i="17"/>
  <c r="Q55" i="17"/>
  <c r="Q56" i="17"/>
  <c r="Q57" i="17"/>
  <c r="O62" i="15"/>
  <c r="O63" i="15"/>
  <c r="M62" i="15"/>
  <c r="M63" i="15"/>
  <c r="K62" i="15"/>
  <c r="K63" i="15"/>
  <c r="I62" i="15"/>
  <c r="I63" i="15"/>
  <c r="G62" i="15"/>
  <c r="G63" i="15"/>
  <c r="E62" i="15"/>
  <c r="E63" i="15"/>
  <c r="C62" i="15"/>
  <c r="C63" i="15"/>
  <c r="Q61" i="15"/>
  <c r="Q64" i="15"/>
  <c r="Q65" i="15"/>
  <c r="Q66" i="15"/>
  <c r="Q67" i="15"/>
  <c r="Q68" i="15"/>
  <c r="Q69" i="15"/>
  <c r="E63" i="10"/>
  <c r="E64" i="10"/>
  <c r="E59" i="10"/>
  <c r="F59" i="10" s="1"/>
  <c r="H53" i="9"/>
  <c r="I53" i="9" s="1"/>
  <c r="H57" i="9"/>
  <c r="H58" i="9"/>
  <c r="Q53" i="14"/>
  <c r="Q61" i="14"/>
  <c r="Q57" i="14"/>
  <c r="Q58" i="14"/>
  <c r="Q59" i="14"/>
  <c r="Q60" i="14"/>
  <c r="O62" i="13"/>
  <c r="M62" i="13"/>
  <c r="M63" i="13"/>
  <c r="K62" i="13"/>
  <c r="K63" i="13"/>
  <c r="K60" i="13"/>
  <c r="I62" i="13"/>
  <c r="I63" i="13"/>
  <c r="I60" i="13"/>
  <c r="G62" i="13"/>
  <c r="G63" i="13"/>
  <c r="G60" i="13"/>
  <c r="E62" i="13"/>
  <c r="E63" i="13"/>
  <c r="C62" i="13"/>
  <c r="C63" i="13"/>
  <c r="C60" i="13"/>
  <c r="M64" i="11"/>
  <c r="M60" i="11"/>
  <c r="N60" i="11" s="1"/>
  <c r="M65" i="11"/>
  <c r="I65" i="11"/>
  <c r="I60" i="11"/>
  <c r="J60" i="11" s="1"/>
  <c r="I64" i="11"/>
  <c r="E60" i="11"/>
  <c r="F60" i="11" s="1"/>
  <c r="E64" i="11"/>
  <c r="E65" i="11"/>
  <c r="C53" i="9"/>
  <c r="E53" i="9" s="1"/>
  <c r="C57" i="9"/>
  <c r="C58" i="9"/>
  <c r="Q61" i="13"/>
  <c r="Q64" i="13"/>
  <c r="Q65" i="13"/>
  <c r="Q66" i="13"/>
  <c r="Q67" i="13"/>
  <c r="Q68" i="13"/>
  <c r="Q69" i="13"/>
  <c r="O60" i="12"/>
  <c r="O61" i="12"/>
  <c r="O56" i="12"/>
  <c r="P56" i="12" s="1"/>
  <c r="M60" i="12"/>
  <c r="M61" i="12"/>
  <c r="M56" i="12"/>
  <c r="N56" i="12" s="1"/>
  <c r="K60" i="12"/>
  <c r="K61" i="12"/>
  <c r="K56" i="12"/>
  <c r="L56" i="12" s="1"/>
  <c r="I60" i="12"/>
  <c r="I61" i="12"/>
  <c r="I56" i="12"/>
  <c r="J56" i="12" s="1"/>
  <c r="G60" i="12"/>
  <c r="G61" i="12"/>
  <c r="G56" i="12"/>
  <c r="H56" i="12" s="1"/>
  <c r="E60" i="12"/>
  <c r="E61" i="12"/>
  <c r="E56" i="12"/>
  <c r="F56" i="12" s="1"/>
  <c r="C60" i="12"/>
  <c r="C61" i="12"/>
  <c r="C56" i="12"/>
  <c r="D56" i="12" s="1"/>
  <c r="Q59" i="12"/>
  <c r="Q62" i="12"/>
  <c r="Q63" i="12"/>
  <c r="Q64" i="12"/>
  <c r="Q65" i="12"/>
  <c r="Q66" i="12"/>
  <c r="Q67" i="12"/>
  <c r="O64" i="11"/>
  <c r="O65" i="11"/>
  <c r="O60" i="11"/>
  <c r="P60" i="11" s="1"/>
  <c r="K64" i="11"/>
  <c r="K65" i="11"/>
  <c r="K60" i="11"/>
  <c r="L60" i="11" s="1"/>
  <c r="G65" i="11"/>
  <c r="G64" i="11"/>
  <c r="G60" i="11"/>
  <c r="H60" i="11" s="1"/>
  <c r="C64" i="11"/>
  <c r="C65" i="11"/>
  <c r="C60" i="11"/>
  <c r="D60" i="11" s="1"/>
  <c r="L57" i="9"/>
  <c r="S8" i="11"/>
  <c r="Q66" i="11"/>
  <c r="Q71" i="11"/>
  <c r="Q63" i="11"/>
  <c r="Q67" i="11"/>
  <c r="Q68" i="11"/>
  <c r="Q69" i="11"/>
  <c r="Q70" i="11"/>
  <c r="M59" i="10"/>
  <c r="N59" i="10" s="1"/>
  <c r="M63" i="10"/>
  <c r="M64" i="10"/>
  <c r="C63" i="10"/>
  <c r="C59" i="10"/>
  <c r="D59" i="10" s="1"/>
  <c r="C64" i="10"/>
  <c r="P60" i="9"/>
  <c r="P59" i="9"/>
  <c r="P61" i="9"/>
  <c r="P63" i="9"/>
  <c r="P56" i="9"/>
  <c r="P64" i="9"/>
  <c r="P62" i="9"/>
  <c r="M64" i="8"/>
  <c r="M65" i="8"/>
  <c r="M60" i="8"/>
  <c r="N60" i="8" s="1"/>
  <c r="K64" i="8"/>
  <c r="K65" i="8"/>
  <c r="I64" i="8"/>
  <c r="I65" i="8"/>
  <c r="I60" i="8"/>
  <c r="J60" i="8" s="1"/>
  <c r="G64" i="8"/>
  <c r="G65" i="8"/>
  <c r="G60" i="8"/>
  <c r="H60" i="8" s="1"/>
  <c r="E64" i="8"/>
  <c r="E65" i="8"/>
  <c r="E60" i="8"/>
  <c r="F60" i="8" s="1"/>
  <c r="C64" i="8"/>
  <c r="C65" i="8"/>
  <c r="C60" i="8"/>
  <c r="D60" i="8" s="1"/>
  <c r="O60" i="8" s="1"/>
  <c r="P60" i="8" s="1"/>
  <c r="G63" i="10"/>
  <c r="G64" i="10"/>
  <c r="G59" i="10"/>
  <c r="H59" i="10" s="1"/>
  <c r="O66" i="8"/>
  <c r="O67" i="8"/>
  <c r="O68" i="8"/>
  <c r="O69" i="8"/>
  <c r="O70" i="8"/>
  <c r="O71" i="8"/>
  <c r="M67" i="7"/>
  <c r="M68" i="7"/>
  <c r="K67" i="7"/>
  <c r="K68" i="7"/>
  <c r="K63" i="7"/>
  <c r="L63" i="7" s="1"/>
  <c r="I67" i="7"/>
  <c r="I68" i="7"/>
  <c r="I63" i="7"/>
  <c r="J63" i="7" s="1"/>
  <c r="G67" i="7"/>
  <c r="G68" i="7"/>
  <c r="G63" i="7"/>
  <c r="H63" i="7" s="1"/>
  <c r="E67" i="7"/>
  <c r="E68" i="7"/>
  <c r="C67" i="7"/>
  <c r="C68" i="7"/>
  <c r="C63" i="7"/>
  <c r="D63" i="7" s="1"/>
  <c r="Q8" i="7"/>
  <c r="O66" i="7"/>
  <c r="O69" i="7"/>
  <c r="O70" i="7"/>
  <c r="O71" i="7"/>
  <c r="O72" i="7"/>
  <c r="O73" i="7"/>
  <c r="O74" i="7"/>
  <c r="M76" i="6"/>
  <c r="M77" i="6"/>
  <c r="M72" i="6"/>
  <c r="N72" i="6" s="1"/>
  <c r="K76" i="6"/>
  <c r="K77" i="6"/>
  <c r="K72" i="6"/>
  <c r="L72" i="6" s="1"/>
  <c r="K74" i="6"/>
  <c r="I76" i="6"/>
  <c r="I77" i="6"/>
  <c r="I72" i="6"/>
  <c r="J72" i="6" s="1"/>
  <c r="I74" i="6"/>
  <c r="G76" i="6"/>
  <c r="G77" i="6"/>
  <c r="G72" i="6"/>
  <c r="H72" i="6" s="1"/>
  <c r="G74" i="6"/>
  <c r="E76" i="6"/>
  <c r="E77" i="6"/>
  <c r="E72" i="6"/>
  <c r="F72" i="6" s="1"/>
  <c r="E74" i="6"/>
  <c r="C76" i="6"/>
  <c r="C77" i="6"/>
  <c r="C72" i="6"/>
  <c r="D72" i="6" s="1"/>
  <c r="C74" i="6"/>
  <c r="Q8" i="6"/>
  <c r="O76" i="6" s="1"/>
  <c r="O77" i="6" s="1"/>
  <c r="O78" i="6"/>
  <c r="O79" i="6"/>
  <c r="O80" i="6"/>
  <c r="O81" i="6"/>
  <c r="O82" i="6"/>
  <c r="O83" i="6"/>
  <c r="M66" i="5"/>
  <c r="M67" i="5"/>
  <c r="M62" i="5"/>
  <c r="N62" i="5" s="1"/>
  <c r="K66" i="5"/>
  <c r="K67" i="5"/>
  <c r="K62" i="5"/>
  <c r="L62" i="5" s="1"/>
  <c r="K64" i="5"/>
  <c r="I66" i="5"/>
  <c r="I67" i="5"/>
  <c r="I62" i="5"/>
  <c r="J62" i="5" s="1"/>
  <c r="G66" i="5"/>
  <c r="G67" i="5"/>
  <c r="G62" i="5"/>
  <c r="H62" i="5" s="1"/>
  <c r="E66" i="5"/>
  <c r="E67" i="5"/>
  <c r="E62" i="5"/>
  <c r="F62" i="5" s="1"/>
  <c r="C66" i="5"/>
  <c r="C67" i="5"/>
  <c r="C62" i="5"/>
  <c r="D62" i="5" s="1"/>
  <c r="T57" i="3"/>
  <c r="T58" i="3"/>
  <c r="T53" i="3"/>
  <c r="U53" i="3" s="1"/>
  <c r="R57" i="3"/>
  <c r="R58" i="3"/>
  <c r="R53" i="3"/>
  <c r="S53" i="3" s="1"/>
  <c r="P57" i="3"/>
  <c r="P53" i="3"/>
  <c r="Q53" i="3" s="1"/>
  <c r="P58" i="3"/>
  <c r="N57" i="3"/>
  <c r="N53" i="3"/>
  <c r="O53" i="3" s="1"/>
  <c r="N58" i="3"/>
  <c r="L57" i="3"/>
  <c r="L53" i="3"/>
  <c r="M53" i="3" s="1"/>
  <c r="C57" i="3"/>
  <c r="C53" i="3"/>
  <c r="C58" i="3"/>
  <c r="F57" i="9"/>
  <c r="F58" i="9"/>
  <c r="F53" i="9"/>
  <c r="G53" i="9" s="1"/>
  <c r="O65" i="5"/>
  <c r="O68" i="5"/>
  <c r="O69" i="5"/>
  <c r="O70" i="5"/>
  <c r="O71" i="5"/>
  <c r="O72" i="5"/>
  <c r="O73" i="5"/>
  <c r="I59" i="10"/>
  <c r="J59" i="10" s="1"/>
  <c r="I63" i="10"/>
  <c r="I64" i="10"/>
  <c r="I61" i="10"/>
  <c r="N53" i="9"/>
  <c r="O53" i="9" s="1"/>
  <c r="N57" i="9"/>
  <c r="V59" i="3"/>
  <c r="V60" i="3"/>
  <c r="V61" i="3"/>
  <c r="V62" i="3"/>
  <c r="V63" i="3"/>
  <c r="V64" i="3"/>
  <c r="V56" i="3"/>
  <c r="N64" i="2"/>
  <c r="N65" i="2"/>
  <c r="N60" i="2"/>
  <c r="O60" i="2" s="1"/>
  <c r="N62" i="2"/>
  <c r="K64" i="2"/>
  <c r="K60" i="2"/>
  <c r="L60" i="2" s="1"/>
  <c r="K62" i="2"/>
  <c r="I64" i="2"/>
  <c r="I65" i="2"/>
  <c r="I60" i="2"/>
  <c r="J60" i="2" s="1"/>
  <c r="I62" i="2"/>
  <c r="G64" i="2"/>
  <c r="G60" i="2"/>
  <c r="H60" i="2" s="1"/>
  <c r="G62" i="2"/>
  <c r="E64" i="2"/>
  <c r="E65" i="2"/>
  <c r="E60" i="2"/>
  <c r="F60" i="2" s="1"/>
  <c r="E62" i="2"/>
  <c r="C64" i="2"/>
  <c r="C65" i="2"/>
  <c r="C60" i="2"/>
  <c r="D60" i="2" s="1"/>
  <c r="C62" i="2"/>
  <c r="R7" i="20"/>
  <c r="Q59" i="20" s="1"/>
  <c r="Q50" i="20"/>
  <c r="O65" i="10"/>
  <c r="O62" i="10"/>
  <c r="O66" i="10"/>
  <c r="O67" i="10"/>
  <c r="O68" i="10"/>
  <c r="O69" i="10"/>
  <c r="O70" i="10"/>
  <c r="J53" i="9"/>
  <c r="K53" i="9" s="1"/>
  <c r="J57" i="9"/>
  <c r="P63" i="2"/>
  <c r="P66" i="2"/>
  <c r="P67" i="2"/>
  <c r="P68" i="2"/>
  <c r="P69" i="2"/>
  <c r="P70" i="2"/>
  <c r="P71" i="2"/>
  <c r="M60" i="1"/>
  <c r="M61" i="1"/>
  <c r="M56" i="1"/>
  <c r="N56" i="1" s="1"/>
  <c r="K60" i="1"/>
  <c r="K61" i="1"/>
  <c r="K56" i="1"/>
  <c r="L56" i="1" s="1"/>
  <c r="I60" i="1"/>
  <c r="I61" i="1"/>
  <c r="I56" i="1"/>
  <c r="J56" i="1" s="1"/>
  <c r="G60" i="1"/>
  <c r="G61" i="1"/>
  <c r="G56" i="1"/>
  <c r="H56" i="1" s="1"/>
  <c r="G58" i="1"/>
  <c r="E60" i="1"/>
  <c r="E61" i="1"/>
  <c r="E56" i="1"/>
  <c r="F56" i="1" s="1"/>
  <c r="C60" i="1"/>
  <c r="C61" i="1"/>
  <c r="C56" i="1"/>
  <c r="D56" i="1" s="1"/>
  <c r="O62" i="1"/>
  <c r="O63" i="1"/>
  <c r="O64" i="1"/>
  <c r="O65" i="1"/>
  <c r="O66" i="1"/>
  <c r="O67" i="1"/>
  <c r="G60" i="15"/>
  <c r="G48" i="17"/>
  <c r="I55" i="14"/>
  <c r="K62" i="8"/>
  <c r="C62" i="8"/>
  <c r="M62" i="11"/>
  <c r="I62" i="11"/>
  <c r="E62" i="11"/>
  <c r="M55" i="14"/>
  <c r="Q31" i="7"/>
  <c r="O55" i="14"/>
  <c r="K55" i="14"/>
  <c r="E55" i="14"/>
  <c r="E60" i="13"/>
  <c r="C52" i="19"/>
  <c r="G61" i="10"/>
  <c r="C61" i="10"/>
  <c r="C55" i="9"/>
  <c r="I60" i="15"/>
  <c r="E60" i="15"/>
  <c r="C60" i="15"/>
  <c r="M62" i="8"/>
  <c r="E62" i="8"/>
  <c r="I62" i="8"/>
  <c r="K61" i="10"/>
  <c r="C55" i="14"/>
  <c r="C48" i="17"/>
  <c r="M52" i="19"/>
  <c r="G55" i="14"/>
  <c r="L55" i="9"/>
  <c r="G62" i="8"/>
  <c r="S58" i="17" l="1"/>
  <c r="Q51" i="17"/>
  <c r="Q63" i="15"/>
  <c r="S70" i="15"/>
  <c r="S62" i="14"/>
  <c r="Q55" i="14"/>
  <c r="Q63" i="13"/>
  <c r="S70" i="13"/>
  <c r="Q61" i="12"/>
  <c r="S68" i="12"/>
  <c r="Q56" i="12"/>
  <c r="S72" i="11"/>
  <c r="Q60" i="11"/>
  <c r="R60" i="11"/>
  <c r="Q65" i="11"/>
  <c r="P58" i="9"/>
  <c r="Q53" i="9"/>
  <c r="R65" i="9"/>
  <c r="P53" i="9"/>
  <c r="O68" i="7"/>
  <c r="Q75" i="7"/>
  <c r="O63" i="7"/>
  <c r="P63" i="7"/>
  <c r="O67" i="5"/>
  <c r="Q74" i="5"/>
  <c r="O62" i="5"/>
  <c r="P62" i="5"/>
  <c r="W53" i="3"/>
  <c r="V58" i="3"/>
  <c r="X65" i="3"/>
  <c r="V53" i="3"/>
  <c r="Q71" i="10"/>
  <c r="O64" i="10"/>
  <c r="P59" i="10"/>
  <c r="O59" i="10"/>
  <c r="P65" i="2"/>
  <c r="R72" i="2"/>
  <c r="P60" i="2"/>
  <c r="Q60" i="2"/>
  <c r="M51" i="17"/>
  <c r="I51" i="17"/>
  <c r="O51" i="17"/>
  <c r="K51" i="17"/>
  <c r="G51" i="17"/>
  <c r="L58" i="9"/>
  <c r="K65" i="2"/>
  <c r="G65" i="2"/>
  <c r="J58" i="9"/>
  <c r="O67" i="7"/>
  <c r="O63" i="13"/>
  <c r="L58" i="3"/>
  <c r="N5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35" authorId="0" shapeId="0" xr:uid="{00000000-0006-0000-1300-000001000000}">
      <text>
        <r>
          <rPr>
            <sz val="10"/>
            <color rgb="FF000000"/>
            <rFont val="Arial"/>
            <scheme val="minor"/>
          </rPr>
          <t>24
	-P S Anitha</t>
        </r>
      </text>
    </comment>
  </commentList>
</comments>
</file>

<file path=xl/sharedStrings.xml><?xml version="1.0" encoding="utf-8"?>
<sst xmlns="http://schemas.openxmlformats.org/spreadsheetml/2006/main" count="1941" uniqueCount="864">
  <si>
    <t>Subject wise Consolidated Report</t>
  </si>
  <si>
    <t>Name of Examination:</t>
  </si>
  <si>
    <t>PERIODIC TEST</t>
  </si>
  <si>
    <t>Class&amp;Section : VI A</t>
  </si>
  <si>
    <t>SESSION</t>
  </si>
  <si>
    <t>JANUARY 2025-2026</t>
  </si>
  <si>
    <r>
      <rPr>
        <sz val="14"/>
        <color theme="1"/>
        <rFont val="Times New Roman"/>
      </rPr>
      <t>Kindly mark absentees as '</t>
    </r>
    <r>
      <rPr>
        <sz val="14"/>
        <color rgb="FFFF0000"/>
        <rFont val="Times New Roman"/>
      </rPr>
      <t>AB</t>
    </r>
    <r>
      <rPr>
        <sz val="14"/>
        <color theme="1"/>
        <rFont val="Times New Roman"/>
      </rPr>
      <t>'</t>
    </r>
  </si>
  <si>
    <t>Roll. No</t>
  </si>
  <si>
    <t>Name of the student</t>
  </si>
  <si>
    <t>ENGLISH</t>
  </si>
  <si>
    <t>HINDI</t>
  </si>
  <si>
    <t>MATHS</t>
  </si>
  <si>
    <t>SCIENCE</t>
  </si>
  <si>
    <t>SOCIAL SCIENCE</t>
  </si>
  <si>
    <t>SANSKRIT</t>
  </si>
  <si>
    <t>TOTAL</t>
  </si>
  <si>
    <t>RESULT</t>
  </si>
  <si>
    <t>max mark</t>
  </si>
  <si>
    <t>marks</t>
  </si>
  <si>
    <t>%</t>
  </si>
  <si>
    <t>AADRIKA ARUN</t>
  </si>
  <si>
    <t>AATHMIKA B</t>
  </si>
  <si>
    <t>AATHMIKA P</t>
  </si>
  <si>
    <t>Ab</t>
  </si>
  <si>
    <t>AB</t>
  </si>
  <si>
    <t>AHAANA P SERSH</t>
  </si>
  <si>
    <t>AINDRA S NAIR</t>
  </si>
  <si>
    <t>TC</t>
  </si>
  <si>
    <t>tc</t>
  </si>
  <si>
    <t>ALBA MERIN</t>
  </si>
  <si>
    <t>ALMA MERIN</t>
  </si>
  <si>
    <t>ARUNITHA LAL</t>
  </si>
  <si>
    <t>B S ASWIKA</t>
  </si>
  <si>
    <t>BHADRA B A</t>
  </si>
  <si>
    <t>DEVANANDA A B</t>
  </si>
  <si>
    <t>DIYA S</t>
  </si>
  <si>
    <t>DYUTHI NISHAD</t>
  </si>
  <si>
    <t>DUA MARZIA</t>
  </si>
  <si>
    <t>GOWRINANDHA M L</t>
  </si>
  <si>
    <t>HANNA FATHIMA</t>
  </si>
  <si>
    <t>JANAKI G RAJEEV</t>
  </si>
  <si>
    <t>NAVAMI VINEETH</t>
  </si>
  <si>
    <t>NISHANA SAJEER</t>
  </si>
  <si>
    <t>NIVEDITHA ARUN</t>
  </si>
  <si>
    <t>RHITHU S PRASAD</t>
  </si>
  <si>
    <t>SAADIYA HAFEES</t>
  </si>
  <si>
    <t>SREENANDA M</t>
  </si>
  <si>
    <t>THANVI S ULLAS</t>
  </si>
  <si>
    <t>THEERTHA A</t>
  </si>
  <si>
    <t>THEERTHA L K</t>
  </si>
  <si>
    <t>VAIGA DIBIN</t>
  </si>
  <si>
    <t>AARUSH R NAIR</t>
  </si>
  <si>
    <t>ABHIN A L</t>
  </si>
  <si>
    <t>ABHINAV S RAMESH</t>
  </si>
  <si>
    <t>ABHINAV SATHEESH</t>
  </si>
  <si>
    <t>ADINATH M A</t>
  </si>
  <si>
    <t>ADHISHESH R</t>
  </si>
  <si>
    <t>ADINATH R NAIR</t>
  </si>
  <si>
    <t>ADITHYAN S L</t>
  </si>
  <si>
    <t>ARJUN M S</t>
  </si>
  <si>
    <t>ASHWIN S S</t>
  </si>
  <si>
    <t>AYUSH TEKAM</t>
  </si>
  <si>
    <t>DEVANARAYAN T</t>
  </si>
  <si>
    <t>GOVIND K</t>
  </si>
  <si>
    <t>NAITHIK SREEJITH</t>
  </si>
  <si>
    <t>PRANAV S</t>
  </si>
  <si>
    <t>RITHULAL A M</t>
  </si>
  <si>
    <t>SIDHARTH PRADEEP</t>
  </si>
  <si>
    <t>T KATHIRVEL</t>
  </si>
  <si>
    <t>AKRITI MAURYA</t>
  </si>
  <si>
    <t>AVERAGE MARK</t>
  </si>
  <si>
    <t>No OF STUDENTS</t>
  </si>
  <si>
    <t>TOTAL NO OF STUDENTS</t>
  </si>
  <si>
    <t xml:space="preserve">NOT APPEARED </t>
  </si>
  <si>
    <t>APPEARED</t>
  </si>
  <si>
    <t>PASSED</t>
  </si>
  <si>
    <t>PASS %</t>
  </si>
  <si>
    <t>below 33%</t>
  </si>
  <si>
    <t>33% to 44%</t>
  </si>
  <si>
    <t>45% to 59%</t>
  </si>
  <si>
    <t>60% to %74</t>
  </si>
  <si>
    <t>75% to 89%</t>
  </si>
  <si>
    <t>90% and above</t>
  </si>
  <si>
    <t>Signature of subject teachers</t>
  </si>
  <si>
    <t>%OF ABSENTEES</t>
  </si>
  <si>
    <t>Class Teacher</t>
  </si>
  <si>
    <t>PRINCIPAL</t>
  </si>
  <si>
    <t>PM SHRI KENDRIYA VIDYALAYA, CRPF PALLIPURAM</t>
  </si>
  <si>
    <t>Class&amp;Section :VI B</t>
  </si>
  <si>
    <r>
      <rPr>
        <sz val="14"/>
        <color theme="1"/>
        <rFont val="Times New Roman"/>
      </rPr>
      <t>Kindly mark absentees as '</t>
    </r>
    <r>
      <rPr>
        <sz val="14"/>
        <color rgb="FFFF0000"/>
        <rFont val="Times New Roman"/>
      </rPr>
      <t>AB</t>
    </r>
    <r>
      <rPr>
        <sz val="14"/>
        <color theme="1"/>
        <rFont val="Times New Roman"/>
      </rPr>
      <t>'</t>
    </r>
  </si>
  <si>
    <t>AADHYA A S NAIR</t>
  </si>
  <si>
    <t>AALIYA FATHIMA R</t>
  </si>
  <si>
    <t>AARADHYA S NAIR</t>
  </si>
  <si>
    <t>A R ARHA</t>
  </si>
  <si>
    <t>A R SREENIDHI</t>
  </si>
  <si>
    <t>ANAMIKA P</t>
  </si>
  <si>
    <t>ANAMIKA S S</t>
  </si>
  <si>
    <t>ARDRA A .NAIR</t>
  </si>
  <si>
    <t>AVANTHIKA G MANOJ</t>
  </si>
  <si>
    <t>AVANTHIKA S V</t>
  </si>
  <si>
    <t>BHAGYAJYOTI S R</t>
  </si>
  <si>
    <t>DHWANI JITHIN</t>
  </si>
  <si>
    <t>DIYA JITH S</t>
  </si>
  <si>
    <t>E EFFRINA</t>
  </si>
  <si>
    <t>HANA R YOONS</t>
  </si>
  <si>
    <t>HRISHITHA S A</t>
  </si>
  <si>
    <t>M ADHIYA LAKSHMI</t>
  </si>
  <si>
    <t>NETHRA NAIR D S</t>
  </si>
  <si>
    <t>PARVATHY A S</t>
  </si>
  <si>
    <t>PRAPANCHIKA P R</t>
  </si>
  <si>
    <t>SIVANANDANA SUDHISH</t>
  </si>
  <si>
    <t>VIDHYALAKSHMI A V</t>
  </si>
  <si>
    <t>A S DARSHITH</t>
  </si>
  <si>
    <t>AADIL KRISHNA D A</t>
  </si>
  <si>
    <t>ABHIJITH S</t>
  </si>
  <si>
    <t>ABHIMANYU S N</t>
  </si>
  <si>
    <t>ADARSH S SUNDARAN</t>
  </si>
  <si>
    <t>ADHVIK R</t>
  </si>
  <si>
    <t>AHMED AFTAB J</t>
  </si>
  <si>
    <t>ARJUN PRADEEP</t>
  </si>
  <si>
    <t>AYAAN MUHAMMED S</t>
  </si>
  <si>
    <t>DEVADARSH R A</t>
  </si>
  <si>
    <t>DHAKSH R S</t>
  </si>
  <si>
    <t>ab</t>
  </si>
  <si>
    <t>JITHU S JAYAN</t>
  </si>
  <si>
    <t>KRISHNAPRASAD V S</t>
  </si>
  <si>
    <t>MILIND KUSHWAH</t>
  </si>
  <si>
    <t>OJAS O S</t>
  </si>
  <si>
    <t>R SURYANARAYANAN</t>
  </si>
  <si>
    <t>S.MURALI GOKUL</t>
  </si>
  <si>
    <t>SHEIL SHAIJU</t>
  </si>
  <si>
    <t>SIDHARTH S R</t>
  </si>
  <si>
    <t>T ESWAR SAI VARUN TEJA</t>
  </si>
  <si>
    <t>THEJAS M A</t>
  </si>
  <si>
    <t>VASUDEV V</t>
  </si>
  <si>
    <t>YUVA J</t>
  </si>
  <si>
    <t>Mrs. Chandralekha</t>
  </si>
  <si>
    <t xml:space="preserve">Mrs.Nimmi </t>
  </si>
  <si>
    <t>Mrs.Sharika</t>
  </si>
  <si>
    <t>Mrs.</t>
  </si>
  <si>
    <t>Dr.BEEGUM SARJOON N R</t>
  </si>
  <si>
    <t>Class&amp;Section :</t>
  </si>
  <si>
    <t>6C</t>
  </si>
  <si>
    <r>
      <rPr>
        <sz val="14"/>
        <color theme="1"/>
        <rFont val="Times New Roman"/>
      </rPr>
      <t>Kindly mark absentees as '</t>
    </r>
    <r>
      <rPr>
        <sz val="14"/>
        <color rgb="FFFF0000"/>
        <rFont val="Times New Roman"/>
      </rPr>
      <t>AB</t>
    </r>
    <r>
      <rPr>
        <sz val="14"/>
        <color theme="1"/>
        <rFont val="Times New Roman"/>
      </rPr>
      <t>'</t>
    </r>
  </si>
  <si>
    <t>ABHAYA NANDHA.A</t>
  </si>
  <si>
    <t>AMRITHA.A.NAIR</t>
  </si>
  <si>
    <t>ANAVADYA A</t>
  </si>
  <si>
    <t>ANVITHA SATHISH</t>
  </si>
  <si>
    <t>APARNA.N.G</t>
  </si>
  <si>
    <t>ASNA.S</t>
  </si>
  <si>
    <t>DHWANI MUKESH</t>
  </si>
  <si>
    <t>EMELYN P S</t>
  </si>
  <si>
    <t>FATHIMATHUL MISRIYYA</t>
  </si>
  <si>
    <t>GAURI LAKSHMI</t>
  </si>
  <si>
    <t>GOURI B R</t>
  </si>
  <si>
    <t>GOURI SURESH</t>
  </si>
  <si>
    <t>HARINI S</t>
  </si>
  <si>
    <t>NAINIKA DILEEP</t>
  </si>
  <si>
    <t>NETHRA S</t>
  </si>
  <si>
    <t>NIVEDYA A N</t>
  </si>
  <si>
    <t>PRISHA P S</t>
  </si>
  <si>
    <t>RAIHANUL JANNAH S</t>
  </si>
  <si>
    <t>RIDA FATHIMA</t>
  </si>
  <si>
    <t>SWASTIKA S RANJU</t>
  </si>
  <si>
    <t>VINOLIN SHYLU V S</t>
  </si>
  <si>
    <t>AADHIKESH R RAJEEV</t>
  </si>
  <si>
    <t>AAGNEY A ARUN</t>
  </si>
  <si>
    <t>AARAV.S.NAIR</t>
  </si>
  <si>
    <t>ADHIDEV A</t>
  </si>
  <si>
    <t>ADHINAND S</t>
  </si>
  <si>
    <t>ADVAITH. S</t>
  </si>
  <si>
    <t>ASIF MOHAMED</t>
  </si>
  <si>
    <t>ASWIN.S.S</t>
  </si>
  <si>
    <t>AXEL A S</t>
  </si>
  <si>
    <t>DEVPRAYAG.S</t>
  </si>
  <si>
    <t>GOUTHAM R KRISHNA</t>
  </si>
  <si>
    <t>HARSH ABHILASH</t>
  </si>
  <si>
    <t>KARTHIK A</t>
  </si>
  <si>
    <t>MUHAMMED YAZEEN N</t>
  </si>
  <si>
    <t>NEERAV N RENJITH</t>
  </si>
  <si>
    <t>NEERAV RAG A R (T C)</t>
  </si>
  <si>
    <t>SMRITHIN S P</t>
  </si>
  <si>
    <t>SOORYANARAYAN V</t>
  </si>
  <si>
    <t>THEJAS KRISHAN S G</t>
  </si>
  <si>
    <t>VASUDEV A S</t>
  </si>
  <si>
    <t>SARANG K SYAM</t>
  </si>
  <si>
    <t>SIVA PARVATHI</t>
  </si>
  <si>
    <t>7A</t>
  </si>
  <si>
    <r>
      <rPr>
        <sz val="14"/>
        <color theme="1"/>
        <rFont val="Times New Roman"/>
      </rPr>
      <t>Kindly mark absentees as '</t>
    </r>
    <r>
      <rPr>
        <sz val="14"/>
        <color rgb="FFFF0000"/>
        <rFont val="Times New Roman"/>
      </rPr>
      <t>AB</t>
    </r>
    <r>
      <rPr>
        <sz val="14"/>
        <color theme="1"/>
        <rFont val="Times New Roman"/>
      </rPr>
      <t>'</t>
    </r>
  </si>
  <si>
    <t>Sreenanda A R</t>
  </si>
  <si>
    <t>Aavani B S</t>
  </si>
  <si>
    <t xml:space="preserve">Adha Jabin </t>
  </si>
  <si>
    <t xml:space="preserve">Adwitha Praveen </t>
  </si>
  <si>
    <t xml:space="preserve">Alexa </t>
  </si>
  <si>
    <t xml:space="preserve">Anushka </t>
  </si>
  <si>
    <t xml:space="preserve">Aaradhya S </t>
  </si>
  <si>
    <t xml:space="preserve">Avanthika </t>
  </si>
  <si>
    <t xml:space="preserve">Devananda </t>
  </si>
  <si>
    <t xml:space="preserve">Eye B Lakshman </t>
  </si>
  <si>
    <t xml:space="preserve">Gowri Jyothish </t>
  </si>
  <si>
    <t xml:space="preserve">Gowri Mohanan </t>
  </si>
  <si>
    <t>Greeshma G S</t>
  </si>
  <si>
    <t xml:space="preserve">Hanna Fathima </t>
  </si>
  <si>
    <t xml:space="preserve">Jeona Treez Jinto </t>
  </si>
  <si>
    <t>Lakshmipriya</t>
  </si>
  <si>
    <t>Niranjana B S</t>
  </si>
  <si>
    <t xml:space="preserve">Pooja Shree </t>
  </si>
  <si>
    <t xml:space="preserve">Sana R </t>
  </si>
  <si>
    <t xml:space="preserve">Shwetha </t>
  </si>
  <si>
    <t xml:space="preserve">Shiva Shree </t>
  </si>
  <si>
    <t xml:space="preserve">Souparnika </t>
  </si>
  <si>
    <t xml:space="preserve">T Dhaarini </t>
  </si>
  <si>
    <t>Thanmaya Krishna</t>
  </si>
  <si>
    <t xml:space="preserve">Aarav Kalesh </t>
  </si>
  <si>
    <t>Adithyan B H</t>
  </si>
  <si>
    <t xml:space="preserve">Adwaith R P </t>
  </si>
  <si>
    <t>Anuradh</t>
  </si>
  <si>
    <t xml:space="preserve">Ayan </t>
  </si>
  <si>
    <t xml:space="preserve">Aayush </t>
  </si>
  <si>
    <t xml:space="preserve">Satish Dilip Karnan </t>
  </si>
  <si>
    <t xml:space="preserve">Devaprathap </t>
  </si>
  <si>
    <t xml:space="preserve">Kashyap Kurup </t>
  </si>
  <si>
    <t xml:space="preserve">Lalchand </t>
  </si>
  <si>
    <t xml:space="preserve">Nidhan S Sarath </t>
  </si>
  <si>
    <t xml:space="preserve">Janakan </t>
  </si>
  <si>
    <t xml:space="preserve">Ram Kishore </t>
  </si>
  <si>
    <t xml:space="preserve">S Adam Joe </t>
  </si>
  <si>
    <t xml:space="preserve">Saathvik Shanas </t>
  </si>
  <si>
    <t>Sreenandan D</t>
  </si>
  <si>
    <t>Sreehari K J</t>
  </si>
  <si>
    <t xml:space="preserve">Vaishnav V P </t>
  </si>
  <si>
    <t>Vaishvik B K</t>
  </si>
  <si>
    <t>RUTURAJ SAMAL</t>
  </si>
  <si>
    <t>Manas D B</t>
  </si>
  <si>
    <t>Beegum Sarjoon N R</t>
  </si>
  <si>
    <t>7B</t>
  </si>
  <si>
    <r>
      <rPr>
        <sz val="14"/>
        <color theme="1"/>
        <rFont val="Times New Roman"/>
      </rPr>
      <t>Kindly mark absentees as '</t>
    </r>
    <r>
      <rPr>
        <sz val="14"/>
        <color rgb="FFFF0000"/>
        <rFont val="Times New Roman"/>
      </rPr>
      <t>AB</t>
    </r>
    <r>
      <rPr>
        <sz val="14"/>
        <color theme="1"/>
        <rFont val="Times New Roman"/>
      </rPr>
      <t>'</t>
    </r>
  </si>
  <si>
    <t>AARADHYA B N</t>
  </si>
  <si>
    <t>ARADHYA</t>
  </si>
  <si>
    <t xml:space="preserve">AAYUSHI </t>
  </si>
  <si>
    <t>AHADHIYA FATHIMA M S</t>
  </si>
  <si>
    <t>AISWARYA RAJESH</t>
  </si>
  <si>
    <t>ANAKHA S MANU</t>
  </si>
  <si>
    <t>ANAMIKA G P</t>
  </si>
  <si>
    <t>ANANNYA S B</t>
  </si>
  <si>
    <t xml:space="preserve">ANGITHA RAKESH </t>
  </si>
  <si>
    <t>ANUGRAHA J</t>
  </si>
  <si>
    <t xml:space="preserve">BHADRA PRASANTH </t>
  </si>
  <si>
    <t>BHAMA PRAKASH K R</t>
  </si>
  <si>
    <t>DEKSHINA A R</t>
  </si>
  <si>
    <t>DEVIKA S A</t>
  </si>
  <si>
    <t>DHANSREE M S</t>
  </si>
  <si>
    <t>DIYA S A</t>
  </si>
  <si>
    <t xml:space="preserve">K S THANYASREE </t>
  </si>
  <si>
    <t xml:space="preserve">KANDI LAHARI </t>
  </si>
  <si>
    <t>NAVAMIKA R G</t>
  </si>
  <si>
    <t>REBEKAH S LEJI</t>
  </si>
  <si>
    <t>SADHIKA A NAIR</t>
  </si>
  <si>
    <t>SAGARIKA S M</t>
  </si>
  <si>
    <t>SARANGI S B</t>
  </si>
  <si>
    <t xml:space="preserve">SATVIKA AINAPURA </t>
  </si>
  <si>
    <t>SIVANI S NAIR</t>
  </si>
  <si>
    <t>AADIN V S</t>
  </si>
  <si>
    <t>AARUSH B A</t>
  </si>
  <si>
    <t>ABHINAV SIVA</t>
  </si>
  <si>
    <t>ABHISHEK A V</t>
  </si>
  <si>
    <t>ADHARV A ABHIJITH</t>
  </si>
  <si>
    <t>ADHIL N S</t>
  </si>
  <si>
    <t>ADHIRATH RETHEESH R</t>
  </si>
  <si>
    <t>AKASH R</t>
  </si>
  <si>
    <t xml:space="preserve">ANANDADEV BIJU KUMAR </t>
  </si>
  <si>
    <t>ANAY M S</t>
  </si>
  <si>
    <t>ARJUN B WARRIER</t>
  </si>
  <si>
    <t>CHITTURI HEMASAI</t>
  </si>
  <si>
    <t>ESHWAR NAIDU GUDETI</t>
  </si>
  <si>
    <t>GOKULNAND A P</t>
  </si>
  <si>
    <t>JEEVARAG S B</t>
  </si>
  <si>
    <t>NANGOPAN D J</t>
  </si>
  <si>
    <t>RAHUL R V</t>
  </si>
  <si>
    <t>RISHI SAM</t>
  </si>
  <si>
    <t>S MAHIBALA</t>
  </si>
  <si>
    <t>VIDHU VIMAL R</t>
  </si>
  <si>
    <t>vVIVAAN ANOOP</t>
  </si>
  <si>
    <t>SREENANDA S</t>
  </si>
  <si>
    <t>Tc</t>
  </si>
  <si>
    <t>VII C</t>
  </si>
  <si>
    <r>
      <rPr>
        <sz val="14"/>
        <color theme="1"/>
        <rFont val="Times New Roman"/>
      </rPr>
      <t>Kindly mark absentees as '</t>
    </r>
    <r>
      <rPr>
        <sz val="14"/>
        <color rgb="FFFF0000"/>
        <rFont val="Times New Roman"/>
      </rPr>
      <t>AB</t>
    </r>
    <r>
      <rPr>
        <sz val="14"/>
        <color theme="1"/>
        <rFont val="Times New Roman"/>
      </rPr>
      <t>'</t>
    </r>
  </si>
  <si>
    <t>AJMI M</t>
  </si>
  <si>
    <t xml:space="preserve">AMINA SIDHEEQ </t>
  </si>
  <si>
    <t xml:space="preserve">AVANTHIKA RAGESH </t>
  </si>
  <si>
    <t xml:space="preserve">DAKSHA SANKAR </t>
  </si>
  <si>
    <t>DEETHYA SAJAYAN</t>
  </si>
  <si>
    <t xml:space="preserve">DEVANANDA S J </t>
  </si>
  <si>
    <t xml:space="preserve">DEVATHARA </t>
  </si>
  <si>
    <t>DIYA KRISHNA D M</t>
  </si>
  <si>
    <t xml:space="preserve">GAYATHRI R KAMATH </t>
  </si>
  <si>
    <t>GAYATHRY A L</t>
  </si>
  <si>
    <t xml:space="preserve">GOWRI S NAIR </t>
  </si>
  <si>
    <t xml:space="preserve">HANNAH JUSTIN </t>
  </si>
  <si>
    <t xml:space="preserve">JIYA J NARAYAN </t>
  </si>
  <si>
    <t xml:space="preserve">KARTHIKA S NAIR </t>
  </si>
  <si>
    <t xml:space="preserve">NANDA KRISHNA </t>
  </si>
  <si>
    <t xml:space="preserve">NIRANJANA SAJULAL </t>
  </si>
  <si>
    <t xml:space="preserve">NIVEDA VIVEK </t>
  </si>
  <si>
    <t>PRAGATI S</t>
  </si>
  <si>
    <t xml:space="preserve">PRARTHANA PAVAN </t>
  </si>
  <si>
    <t xml:space="preserve">RAGAMITHRA S R </t>
  </si>
  <si>
    <t>SALVIA VINOD A</t>
  </si>
  <si>
    <t xml:space="preserve">SANCHANA SHAM </t>
  </si>
  <si>
    <t>SHREYA S</t>
  </si>
  <si>
    <t xml:space="preserve">VAIDEHI S NAIR </t>
  </si>
  <si>
    <t xml:space="preserve">VELAMALA NIHARIKA </t>
  </si>
  <si>
    <t>ABHINAND S</t>
  </si>
  <si>
    <t>ABHINAV A V</t>
  </si>
  <si>
    <t>ABHINAV S S</t>
  </si>
  <si>
    <t xml:space="preserve">ADWAITH N NAIR </t>
  </si>
  <si>
    <t>ARJUN KRISHNA B A</t>
  </si>
  <si>
    <t>ARYAN A R</t>
  </si>
  <si>
    <t xml:space="preserve">ASHWANTH  KRISHNA </t>
  </si>
  <si>
    <t xml:space="preserve">BHAGAT MOHAN </t>
  </si>
  <si>
    <t>BHAGATHNATH  L</t>
  </si>
  <si>
    <t>DEVNANDAN S J</t>
  </si>
  <si>
    <t xml:space="preserve">DIJO DIXON </t>
  </si>
  <si>
    <t xml:space="preserve">DIKSHY </t>
  </si>
  <si>
    <t xml:space="preserve">GOUTHAM KARTHIKEYAN </t>
  </si>
  <si>
    <t>HRITHIK P</t>
  </si>
  <si>
    <t xml:space="preserve">MADHAV LINEJ </t>
  </si>
  <si>
    <t>MANAV P S</t>
  </si>
  <si>
    <t xml:space="preserve">NIVED NANDA M S </t>
  </si>
  <si>
    <t xml:space="preserve">NIVIN B L </t>
  </si>
  <si>
    <t xml:space="preserve">SAHAJ SINOJ </t>
  </si>
  <si>
    <t xml:space="preserve">VAISHNAV S R </t>
  </si>
  <si>
    <t>Mrs</t>
  </si>
  <si>
    <t xml:space="preserve">Exam I/C  </t>
  </si>
  <si>
    <t>PRINCIPAL : Mrs. C. Raji</t>
  </si>
  <si>
    <t>Class&amp;Section :8A</t>
  </si>
  <si>
    <r>
      <rPr>
        <sz val="14"/>
        <color theme="1"/>
        <rFont val="Times New Roman"/>
      </rPr>
      <t>Kindly mark absentees as '</t>
    </r>
    <r>
      <rPr>
        <sz val="14"/>
        <color rgb="FFFF0000"/>
        <rFont val="Times New Roman"/>
      </rPr>
      <t>AB</t>
    </r>
    <r>
      <rPr>
        <sz val="14"/>
        <color theme="1"/>
        <rFont val="Times New Roman"/>
      </rPr>
      <t>'</t>
    </r>
  </si>
  <si>
    <t>Hindi</t>
  </si>
  <si>
    <t>Abhirami V Prasad</t>
  </si>
  <si>
    <t>Aishwarya Krishnan V</t>
  </si>
  <si>
    <t>Amrita A J Nair</t>
  </si>
  <si>
    <t>Amrutha Sunil Raj</t>
  </si>
  <si>
    <t>Anagha S C</t>
  </si>
  <si>
    <t>Anishma Aneesh</t>
  </si>
  <si>
    <t>Arunima M</t>
  </si>
  <si>
    <t>Bhavna R</t>
  </si>
  <si>
    <t>Bhavya R</t>
  </si>
  <si>
    <t>Deveedatha B R</t>
  </si>
  <si>
    <t>Durga R Nair</t>
  </si>
  <si>
    <t>E Evancy</t>
  </si>
  <si>
    <t>Gowri S Nair</t>
  </si>
  <si>
    <t>Hadiya A B</t>
  </si>
  <si>
    <t>Jiya S Nair</t>
  </si>
  <si>
    <t>Mareena Sebastian</t>
  </si>
  <si>
    <t>Noufiya Nahas</t>
  </si>
  <si>
    <t>Shivananda</t>
  </si>
  <si>
    <t>Sivani Sunil</t>
  </si>
  <si>
    <t>Sreelekshmi</t>
  </si>
  <si>
    <t>B Swetha</t>
  </si>
  <si>
    <t>Thejawath Neeharika</t>
  </si>
  <si>
    <t>Vaiga J S</t>
  </si>
  <si>
    <t>Vaiga T R</t>
  </si>
  <si>
    <t>M Vaishnavi</t>
  </si>
  <si>
    <t>Adithya Dev V A</t>
  </si>
  <si>
    <t>Abhinav Madhav M R</t>
  </si>
  <si>
    <t>Adinath S L</t>
  </si>
  <si>
    <t>Adithyan S R</t>
  </si>
  <si>
    <t>Afras M</t>
  </si>
  <si>
    <t>Al Safan N</t>
  </si>
  <si>
    <t>Fahad Mahmood S</t>
  </si>
  <si>
    <t>G N M Gokulan</t>
  </si>
  <si>
    <t>Goutham Krishna S</t>
  </si>
  <si>
    <t>Jayadev G</t>
  </si>
  <si>
    <t>Krishna Murari A R</t>
  </si>
  <si>
    <t>M Niranjan</t>
  </si>
  <si>
    <t>Nivedith J B</t>
  </si>
  <si>
    <t>Niwin Chinu V</t>
  </si>
  <si>
    <t>S Pradeepan</t>
  </si>
  <si>
    <t>Salmanul Faris N</t>
  </si>
  <si>
    <t>Shivam Kumar</t>
  </si>
  <si>
    <t>Srejas G Ajish</t>
  </si>
  <si>
    <t>SHAMMY</t>
  </si>
  <si>
    <t xml:space="preserve">SHARIKA O BABU </t>
  </si>
  <si>
    <t>8B</t>
  </si>
  <si>
    <r>
      <rPr>
        <sz val="14"/>
        <color theme="1"/>
        <rFont val="Times New Roman"/>
      </rPr>
      <t>Kindly mark absentees as '</t>
    </r>
    <r>
      <rPr>
        <sz val="14"/>
        <color rgb="FFFF0000"/>
        <rFont val="Times New Roman"/>
      </rPr>
      <t>AB</t>
    </r>
    <r>
      <rPr>
        <sz val="14"/>
        <color theme="1"/>
        <rFont val="Times New Roman"/>
      </rPr>
      <t>'</t>
    </r>
  </si>
  <si>
    <t>Afsana S.F</t>
  </si>
  <si>
    <t>Ahalya V.S</t>
  </si>
  <si>
    <t>Amaya Mol . M</t>
  </si>
  <si>
    <t>Athulya Sajeev</t>
  </si>
  <si>
    <t xml:space="preserve">Ameya Arun Jyothi </t>
  </si>
  <si>
    <t>Avanthika Adarsh</t>
  </si>
  <si>
    <t>Gauthami Visakh</t>
  </si>
  <si>
    <t>Keerthana P.S</t>
  </si>
  <si>
    <t>Meenakshy K.R</t>
  </si>
  <si>
    <t>Midhila A.R</t>
  </si>
  <si>
    <t>Navami M Sarath</t>
  </si>
  <si>
    <t>Sethulekshmi . S</t>
  </si>
  <si>
    <t>Shehnaz Fathim . R</t>
  </si>
  <si>
    <t>Sheza Fathima</t>
  </si>
  <si>
    <t>Shivani M.L</t>
  </si>
  <si>
    <t xml:space="preserve">Surabhi . S </t>
  </si>
  <si>
    <t>Vygha A.R</t>
  </si>
  <si>
    <t xml:space="preserve">Aadidev Krishna </t>
  </si>
  <si>
    <t>Aashwin R.S</t>
  </si>
  <si>
    <t>Abhinav A.S</t>
  </si>
  <si>
    <t>Abid .S</t>
  </si>
  <si>
    <t>Abin A.S</t>
  </si>
  <si>
    <t>Amish Bishnu</t>
  </si>
  <si>
    <t>Adwaith .U</t>
  </si>
  <si>
    <t xml:space="preserve">Ananda Krishna </t>
  </si>
  <si>
    <t>Anaswar J.S</t>
  </si>
  <si>
    <t>Anaswar .S</t>
  </si>
  <si>
    <t>Anokhlal J.R</t>
  </si>
  <si>
    <t>Arjun Sreejesh</t>
  </si>
  <si>
    <t xml:space="preserve">Dev Krishna </t>
  </si>
  <si>
    <t xml:space="preserve">Goutham Krishna </t>
  </si>
  <si>
    <t>Kaarthik .R</t>
  </si>
  <si>
    <t xml:space="preserve">Mijin S.J </t>
  </si>
  <si>
    <t xml:space="preserve">Muhammed Raihan </t>
  </si>
  <si>
    <t>Muhammed Sinan</t>
  </si>
  <si>
    <t xml:space="preserve">Nivin T.R </t>
  </si>
  <si>
    <t>Sreehari S Kanth</t>
  </si>
  <si>
    <t>Sreyas V Rajith</t>
  </si>
  <si>
    <t xml:space="preserve">V . Varshith </t>
  </si>
  <si>
    <t>Vinayak S.A</t>
  </si>
  <si>
    <t>Navaneeth .S</t>
  </si>
  <si>
    <t>8C</t>
  </si>
  <si>
    <r>
      <rPr>
        <sz val="14"/>
        <color theme="1"/>
        <rFont val="Times New Roman"/>
      </rPr>
      <t>Kindly mark absentees as '</t>
    </r>
    <r>
      <rPr>
        <sz val="14"/>
        <color rgb="FFFF0000"/>
        <rFont val="Times New Roman"/>
      </rPr>
      <t>AB</t>
    </r>
    <r>
      <rPr>
        <sz val="14"/>
        <color theme="1"/>
        <rFont val="Times New Roman"/>
      </rPr>
      <t>'</t>
    </r>
  </si>
  <si>
    <t>Avani sunil</t>
  </si>
  <si>
    <t>Agmaya Deepu</t>
  </si>
  <si>
    <t>Akshara S Vino</t>
  </si>
  <si>
    <t>Alona aby</t>
  </si>
  <si>
    <t xml:space="preserve">Ananya S shiju </t>
  </si>
  <si>
    <t>Ankitha AN</t>
  </si>
  <si>
    <t xml:space="preserve">ANSHI S KUMAR </t>
  </si>
  <si>
    <t xml:space="preserve">ARAFA J </t>
  </si>
  <si>
    <t>ARATHY R ABHILASH (TC)</t>
  </si>
  <si>
    <t xml:space="preserve">DEVAPRIYA SR </t>
  </si>
  <si>
    <t xml:space="preserve">DARAVATH PALLAVI </t>
  </si>
  <si>
    <t xml:space="preserve">DIYA TV </t>
  </si>
  <si>
    <t>FATHIMUTHU SAHARA S S</t>
  </si>
  <si>
    <t>FEBI A N</t>
  </si>
  <si>
    <t xml:space="preserve">KS MONIHA SREE </t>
  </si>
  <si>
    <t>LS NANDHANA</t>
  </si>
  <si>
    <t xml:space="preserve">LEKSHMI RAJ S </t>
  </si>
  <si>
    <t xml:space="preserve">NADIYA FAISAL </t>
  </si>
  <si>
    <t>NAVAMI JANARAT</t>
  </si>
  <si>
    <t xml:space="preserve">PAVITHRA PS </t>
  </si>
  <si>
    <t xml:space="preserve">RISHMITHA RAJ </t>
  </si>
  <si>
    <t xml:space="preserve">SREENANDA SL </t>
  </si>
  <si>
    <t xml:space="preserve">VAIGA AS </t>
  </si>
  <si>
    <t xml:space="preserve">VAIGA MR </t>
  </si>
  <si>
    <t xml:space="preserve">AADHIDEV AP NAIR </t>
  </si>
  <si>
    <t>ADHINADH UV</t>
  </si>
  <si>
    <t>ASHISH TV</t>
  </si>
  <si>
    <t xml:space="preserve">ABDUL AFTAB MUHAMMED </t>
  </si>
  <si>
    <t xml:space="preserve">ADHITHYAN SP </t>
  </si>
  <si>
    <t xml:space="preserve">AHNAF AS </t>
  </si>
  <si>
    <t xml:space="preserve">AKSHATH BABU </t>
  </si>
  <si>
    <t xml:space="preserve">AYUSH VIJAY </t>
  </si>
  <si>
    <t xml:space="preserve">EBIN PS </t>
  </si>
  <si>
    <t xml:space="preserve">G DEVADHI KESAV </t>
  </si>
  <si>
    <t xml:space="preserve">PRANAV PS </t>
  </si>
  <si>
    <t xml:space="preserve">RANJEESH R </t>
  </si>
  <si>
    <t>SANJAY SAJAN</t>
  </si>
  <si>
    <t>SHARON S</t>
  </si>
  <si>
    <t>SOORYA KIRAN</t>
  </si>
  <si>
    <t xml:space="preserve">T SABHARIHARAN </t>
  </si>
  <si>
    <t>TANUJ VASHISTH</t>
  </si>
  <si>
    <t/>
  </si>
  <si>
    <t xml:space="preserve">SOUMYA </t>
  </si>
  <si>
    <t>IX A</t>
  </si>
  <si>
    <t xml:space="preserve">CLASS TEACHER   </t>
  </si>
  <si>
    <t>ARTIFICIAL INTELLIGENCE</t>
  </si>
  <si>
    <t>T  SHALINI</t>
  </si>
  <si>
    <t>AKSHAYA  M</t>
  </si>
  <si>
    <t>ASHLEY MATHEW</t>
  </si>
  <si>
    <t>ASHTAMI  P  S</t>
  </si>
  <si>
    <t xml:space="preserve">ASHVIKA  S  HARILAL </t>
  </si>
  <si>
    <t>BHADRA BAIJU</t>
  </si>
  <si>
    <t>BHAGYA  R</t>
  </si>
  <si>
    <t>GAYATHRI  D  HAREESH</t>
  </si>
  <si>
    <t>HARIPRIYA  S  H</t>
  </si>
  <si>
    <t>KRITHIKA  A  K</t>
  </si>
  <si>
    <t>LAVITHRA  R  R</t>
  </si>
  <si>
    <t>NASNA  L</t>
  </si>
  <si>
    <t xml:space="preserve"> P  S  ANUMITHA</t>
  </si>
  <si>
    <t>SAHALA  NIZARUDEEN</t>
  </si>
  <si>
    <t>SHREEYA  BIJUKUMAR</t>
  </si>
  <si>
    <t>SHIVANY   V D</t>
  </si>
  <si>
    <t>VAIGA  J  ARUN</t>
  </si>
  <si>
    <t>VAISHNA  J R</t>
  </si>
  <si>
    <t>AADINATH  S  A</t>
  </si>
  <si>
    <t>AMAL  A  NAIR</t>
  </si>
  <si>
    <t>AMRITHANAND R  L</t>
  </si>
  <si>
    <t>ARJUN  A  R</t>
  </si>
  <si>
    <t>AYUSH  V  N</t>
  </si>
  <si>
    <t>KARTHIK  P</t>
  </si>
  <si>
    <t>KASHINATHAN  B A</t>
  </si>
  <si>
    <t>MUHAMMED YUSUF</t>
  </si>
  <si>
    <t>SARANG  AMITHABH</t>
  </si>
  <si>
    <t>SIDHARTH  S NAIR</t>
  </si>
  <si>
    <t>VAISHNAV RAJ</t>
  </si>
  <si>
    <t>ANANYA  S  ARUN</t>
  </si>
  <si>
    <t>DEVI  SAJITH</t>
  </si>
  <si>
    <t>GOURI BHADRA</t>
  </si>
  <si>
    <t>HARIPRIYA  S  KANTH</t>
  </si>
  <si>
    <t>ISHIKA  S</t>
  </si>
  <si>
    <t xml:space="preserve">MARIYA  SEBASTIAN </t>
  </si>
  <si>
    <t>SIVEASWARI  R</t>
  </si>
  <si>
    <t xml:space="preserve">AAGATHAN A </t>
  </si>
  <si>
    <t>ADITHYAN R</t>
  </si>
  <si>
    <t xml:space="preserve">AHAMMED ASAD R </t>
  </si>
  <si>
    <t>DHRUV  D  NATH</t>
  </si>
  <si>
    <t>KASHINATH   P</t>
  </si>
  <si>
    <t>N  ADARSH</t>
  </si>
  <si>
    <t>NAVEEN  NARAYAN S</t>
  </si>
  <si>
    <t>P    PRABIDEV</t>
  </si>
  <si>
    <t xml:space="preserve">SUBHASH </t>
  </si>
  <si>
    <t>Ms. Sharika</t>
  </si>
  <si>
    <t>SHEEBA RANI K R</t>
  </si>
  <si>
    <t>9 B</t>
  </si>
  <si>
    <r>
      <rPr>
        <sz val="14"/>
        <color theme="1"/>
        <rFont val="Times New Roman"/>
      </rPr>
      <t>Kindly mark absentees as '</t>
    </r>
    <r>
      <rPr>
        <sz val="14"/>
        <color rgb="FFFF0000"/>
        <rFont val="Times New Roman"/>
      </rPr>
      <t>AB</t>
    </r>
    <r>
      <rPr>
        <sz val="14"/>
        <color theme="1"/>
        <rFont val="Times New Roman"/>
      </rPr>
      <t>'</t>
    </r>
  </si>
  <si>
    <t>ARTIFICIAL INTELL</t>
  </si>
  <si>
    <t>ANUSHREE SANU A S</t>
  </si>
  <si>
    <t>ARDRA S S</t>
  </si>
  <si>
    <t>ARYA A C</t>
  </si>
  <si>
    <t>SKT</t>
  </si>
  <si>
    <t>ASBI RIYAS</t>
  </si>
  <si>
    <t>DIYA A G</t>
  </si>
  <si>
    <t>DIYA MIRZA S</t>
  </si>
  <si>
    <t>FIDHA S</t>
  </si>
  <si>
    <t>GEETHIKA S NAIR</t>
  </si>
  <si>
    <t>GOWRI A S</t>
  </si>
  <si>
    <t>KRISHNENDU V S</t>
  </si>
  <si>
    <t>NARTHANA V NAIR</t>
  </si>
  <si>
    <t>PADMA S</t>
  </si>
  <si>
    <t>PRADEEPTA BISWAL</t>
  </si>
  <si>
    <t>SANA FIROS</t>
  </si>
  <si>
    <t>SHIKHA A S</t>
  </si>
  <si>
    <t>SHINA FATHIMA A S</t>
  </si>
  <si>
    <t>SHIVANI M NAIR</t>
  </si>
  <si>
    <t>SIVANI A K</t>
  </si>
  <si>
    <t>SREELEKSHMI B S</t>
  </si>
  <si>
    <t>ABHIRAM S V</t>
  </si>
  <si>
    <t>ABHISHEK S</t>
  </si>
  <si>
    <t>AKSHIT SHARMA</t>
  </si>
  <si>
    <t>DARWIN SURESH</t>
  </si>
  <si>
    <t>FAHAD MOHAMMED</t>
  </si>
  <si>
    <t>KANDERI AKHIL</t>
  </si>
  <si>
    <t>MUHAMMED MUZAMMIL N S</t>
  </si>
  <si>
    <t>NEEHAR S SREE</t>
  </si>
  <si>
    <t>PAVAN K J</t>
  </si>
  <si>
    <t>PRAYAG S RAMESH</t>
  </si>
  <si>
    <t>R P ANJISHNU</t>
  </si>
  <si>
    <t>R S JAGAN</t>
  </si>
  <si>
    <t>S ADITHYAN</t>
  </si>
  <si>
    <t>SARADHI S B</t>
  </si>
  <si>
    <t>SIDHARTH S</t>
  </si>
  <si>
    <t>SRAVAN S R</t>
  </si>
  <si>
    <t>ANAMIKA A B</t>
  </si>
  <si>
    <t>SANDHRA S</t>
  </si>
  <si>
    <t>SUBUHANA SULAIMAN S</t>
  </si>
  <si>
    <t>THANHA N SOORAJ</t>
  </si>
  <si>
    <t>THEERDHA M S</t>
  </si>
  <si>
    <t>AKSHAY KRISHNA A A</t>
  </si>
  <si>
    <t>ISHAAN ANIL</t>
  </si>
  <si>
    <t>SIVAJYOTHIS S</t>
  </si>
  <si>
    <t>SUJITH R V</t>
  </si>
  <si>
    <t>9C</t>
  </si>
  <si>
    <r>
      <rPr>
        <sz val="14"/>
        <color theme="1"/>
        <rFont val="Times New Roman"/>
      </rPr>
      <t>Kindly mark absentees as '</t>
    </r>
    <r>
      <rPr>
        <sz val="14"/>
        <color rgb="FFFF0000"/>
        <rFont val="Times New Roman"/>
      </rPr>
      <t>AB</t>
    </r>
    <r>
      <rPr>
        <sz val="14"/>
        <color theme="1"/>
        <rFont val="Times New Roman"/>
      </rPr>
      <t>'</t>
    </r>
  </si>
  <si>
    <t>Anamika D</t>
  </si>
  <si>
    <t>Anaha K S</t>
  </si>
  <si>
    <t xml:space="preserve">Anaswara Baiju </t>
  </si>
  <si>
    <t>Anshika R Kurup</t>
  </si>
  <si>
    <t>Anwita  K V</t>
  </si>
  <si>
    <t xml:space="preserve">Apoorva </t>
  </si>
  <si>
    <t>Asika R</t>
  </si>
  <si>
    <t>Bhakti Anil Borse</t>
  </si>
  <si>
    <t>Gouri KrishnaT S</t>
  </si>
  <si>
    <t>Harshita S D</t>
  </si>
  <si>
    <t>Mayookha A A</t>
  </si>
  <si>
    <t xml:space="preserve">Rudhra Mahesh </t>
  </si>
  <si>
    <t>Saparya AS</t>
  </si>
  <si>
    <t>Shafna M S</t>
  </si>
  <si>
    <t>Shivani M V</t>
  </si>
  <si>
    <t>Vismaya V M</t>
  </si>
  <si>
    <t>Aarav B Nair</t>
  </si>
  <si>
    <t>Abhinav S</t>
  </si>
  <si>
    <t>Adith Sethu</t>
  </si>
  <si>
    <t xml:space="preserve">Advaith Pradeep </t>
  </si>
  <si>
    <t>Al Ameen N</t>
  </si>
  <si>
    <t>Anantha Padmanabhan</t>
  </si>
  <si>
    <t>Anijith R</t>
  </si>
  <si>
    <t>Anirudh Madhav</t>
  </si>
  <si>
    <t>Anupam Dey</t>
  </si>
  <si>
    <t>Ayham J</t>
  </si>
  <si>
    <t>Benet M Bibin</t>
  </si>
  <si>
    <t>Fabian J</t>
  </si>
  <si>
    <t>Navajyot Renjan</t>
  </si>
  <si>
    <t>Pratyush Kumar</t>
  </si>
  <si>
    <t>Sabarinath H S</t>
  </si>
  <si>
    <t>S Kedar Krishna</t>
  </si>
  <si>
    <t>Irfana A S</t>
  </si>
  <si>
    <t>Theertha G S</t>
  </si>
  <si>
    <t>Vaiga D</t>
  </si>
  <si>
    <t>Aadikshid S Kumar</t>
  </si>
  <si>
    <t>Aman Ahmed A S</t>
  </si>
  <si>
    <t>Amarnath A</t>
  </si>
  <si>
    <t>Avin Dev A</t>
  </si>
  <si>
    <t>Karan Krishna</t>
  </si>
  <si>
    <t>S R Parthsarthi</t>
  </si>
  <si>
    <t>Vinayak A R</t>
  </si>
  <si>
    <t>Gouri Kalyani KB</t>
  </si>
  <si>
    <t>PERIODIC TEST-1</t>
  </si>
  <si>
    <t>X A</t>
  </si>
  <si>
    <r>
      <rPr>
        <sz val="14"/>
        <color theme="1"/>
        <rFont val="Times New Roman"/>
      </rPr>
      <t>Kindly mark absentees as '</t>
    </r>
    <r>
      <rPr>
        <sz val="14"/>
        <color rgb="FFFF0000"/>
        <rFont val="Times New Roman"/>
      </rPr>
      <t>AB</t>
    </r>
    <r>
      <rPr>
        <sz val="14"/>
        <color theme="1"/>
        <rFont val="Times New Roman"/>
      </rPr>
      <t>'</t>
    </r>
  </si>
  <si>
    <t>ART. INT.</t>
  </si>
  <si>
    <t>ARDRA H S</t>
  </si>
  <si>
    <t>ASHWITHA S</t>
  </si>
  <si>
    <t>C KISHOLIN REYA</t>
  </si>
  <si>
    <t>GOURIKRISHNA A M</t>
  </si>
  <si>
    <t>R DHANUSHKA</t>
  </si>
  <si>
    <t>SERA WILSON</t>
  </si>
  <si>
    <t>SIVA LAKSHMI A V</t>
  </si>
  <si>
    <t>THANUSHA PRAMOD</t>
  </si>
  <si>
    <t>VAISHNAVI S NAIR</t>
  </si>
  <si>
    <t>AARON R A</t>
  </si>
  <si>
    <t>AMITH P ANEESH</t>
  </si>
  <si>
    <t>ARJUN R</t>
  </si>
  <si>
    <t>ASHUTOSH</t>
  </si>
  <si>
    <t>ATHUL KRISHNA P N</t>
  </si>
  <si>
    <t>AYUSH D S</t>
  </si>
  <si>
    <t>DEVA J</t>
  </si>
  <si>
    <t>DHYAN KRISHNA</t>
  </si>
  <si>
    <t>NIVED A R</t>
  </si>
  <si>
    <t>SANTHWAN B</t>
  </si>
  <si>
    <t>T JASWANTH KUMAR</t>
  </si>
  <si>
    <t>THEJUS B R</t>
  </si>
  <si>
    <t>ALFIYA S B</t>
  </si>
  <si>
    <t>ANJANA RAJ</t>
  </si>
  <si>
    <t>GOWRI NANDA A P</t>
  </si>
  <si>
    <t>HRITHIKA NISHANTH</t>
  </si>
  <si>
    <t>JAYALEKSHMI S</t>
  </si>
  <si>
    <t>NESRIN NIZAR</t>
  </si>
  <si>
    <t>SANA S NAIR</t>
  </si>
  <si>
    <t>SARAYU S S</t>
  </si>
  <si>
    <t>ABHINAV R NAIR</t>
  </si>
  <si>
    <t>ABIN P JACOB</t>
  </si>
  <si>
    <t>D AADINARAYANAN</t>
  </si>
  <si>
    <t>DEVA PRANAV M</t>
  </si>
  <si>
    <t>DEVARAG S B</t>
  </si>
  <si>
    <t>HARI KRISHNAN A</t>
  </si>
  <si>
    <t>THEJAS S THAMPI</t>
  </si>
  <si>
    <t>MONTHLY TEST</t>
  </si>
  <si>
    <t>X B</t>
  </si>
  <si>
    <r>
      <rPr>
        <sz val="14"/>
        <color theme="1"/>
        <rFont val="Times New Roman"/>
      </rPr>
      <t>Kindly mark absentees as '</t>
    </r>
    <r>
      <rPr>
        <sz val="14"/>
        <color rgb="FFFF0000"/>
        <rFont val="Times New Roman"/>
      </rPr>
      <t>AB</t>
    </r>
    <r>
      <rPr>
        <sz val="14"/>
        <color theme="1"/>
        <rFont val="Times New Roman"/>
      </rPr>
      <t>'</t>
    </r>
  </si>
  <si>
    <t>Aswani Binu</t>
  </si>
  <si>
    <t>Athulya</t>
  </si>
  <si>
    <t>B Ahalya</t>
  </si>
  <si>
    <t>Devananda AvR</t>
  </si>
  <si>
    <t>Dhararavath Indhira</t>
  </si>
  <si>
    <t>Leksmi priyaa R G</t>
  </si>
  <si>
    <t>Nandhana M</t>
  </si>
  <si>
    <t>R S Vaidehi</t>
  </si>
  <si>
    <t>Salet Rosema</t>
  </si>
  <si>
    <t>Shinaha Hildin</t>
  </si>
  <si>
    <t>Sinchana Ainapura</t>
  </si>
  <si>
    <t>Vanalika Sreevastava</t>
  </si>
  <si>
    <t>Aadarsh Poorna</t>
  </si>
  <si>
    <t>Adithya S H</t>
  </si>
  <si>
    <t>Ayush Praveen</t>
  </si>
  <si>
    <t>B Niranjan</t>
  </si>
  <si>
    <t xml:space="preserve">G M Srinitish </t>
  </si>
  <si>
    <t>Gokul G Nair</t>
  </si>
  <si>
    <t>Mohd Bilal</t>
  </si>
  <si>
    <t>Pranav D P</t>
  </si>
  <si>
    <t>Rithu Krishna</t>
  </si>
  <si>
    <t>Sidharth</t>
  </si>
  <si>
    <t>Sreyas Anoop</t>
  </si>
  <si>
    <t>Aiswarya L</t>
  </si>
  <si>
    <t>Anagha veda</t>
  </si>
  <si>
    <t>Anushka</t>
  </si>
  <si>
    <t>Devananda S</t>
  </si>
  <si>
    <t>Diya P Nair</t>
  </si>
  <si>
    <t>Prateeksha S</t>
  </si>
  <si>
    <t>R Diya Bose</t>
  </si>
  <si>
    <t>Roopasree M M</t>
  </si>
  <si>
    <t>Roopika R</t>
  </si>
  <si>
    <t>Sreelekshmi G P.</t>
  </si>
  <si>
    <t>Vaiga V.</t>
  </si>
  <si>
    <t>Harinandh K Pillai.</t>
  </si>
  <si>
    <t>Suriya R</t>
  </si>
  <si>
    <t>Vasudev A.</t>
  </si>
  <si>
    <t>Chandralekha.C</t>
  </si>
  <si>
    <t>X C</t>
  </si>
  <si>
    <r>
      <rPr>
        <sz val="14"/>
        <color theme="1"/>
        <rFont val="Times New Roman"/>
      </rPr>
      <t>Kindly mark absentees as '</t>
    </r>
    <r>
      <rPr>
        <sz val="14"/>
        <color rgb="FFFF0000"/>
        <rFont val="Times New Roman"/>
      </rPr>
      <t>AB</t>
    </r>
    <r>
      <rPr>
        <sz val="14"/>
        <color theme="1"/>
        <rFont val="Times New Roman"/>
      </rPr>
      <t>'</t>
    </r>
  </si>
  <si>
    <t>ABHIRAMI.H.B</t>
  </si>
  <si>
    <t>ANAYA DR</t>
  </si>
  <si>
    <t>ARUNIMA SHIBU</t>
  </si>
  <si>
    <t>ASHTAMI.A.S.NAIR</t>
  </si>
  <si>
    <t>DEVASURYA</t>
  </si>
  <si>
    <t>DEVIKA SR</t>
  </si>
  <si>
    <t>DHANVI M S</t>
  </si>
  <si>
    <t>KEERTHANA BM</t>
  </si>
  <si>
    <t>LIYANA MANSOOR</t>
  </si>
  <si>
    <t>MEGHA. M. S</t>
  </si>
  <si>
    <t>POURNAMI G S</t>
  </si>
  <si>
    <t>SANDHRA P.V</t>
  </si>
  <si>
    <t>SANKEERTHANA. RS</t>
  </si>
  <si>
    <t>SNEHA S</t>
  </si>
  <si>
    <t>AKSHAY KUMAR A</t>
  </si>
  <si>
    <t>AKSHAY PR</t>
  </si>
  <si>
    <t>AKSHAY S NAIR</t>
  </si>
  <si>
    <t>ARJUN PS</t>
  </si>
  <si>
    <t>DEVANEYAN SUNIL</t>
  </si>
  <si>
    <t>GANGADUTT.S</t>
  </si>
  <si>
    <t>HARINANDAN A R</t>
  </si>
  <si>
    <t>IHSAN A R</t>
  </si>
  <si>
    <t>J Y ADLIN NOBAL</t>
  </si>
  <si>
    <t>KOUSTHUBHSANKAR. S</t>
  </si>
  <si>
    <t xml:space="preserve">ROHIT RAKESH </t>
  </si>
  <si>
    <t>VIGNESH M</t>
  </si>
  <si>
    <t>VISHNU DEV S R</t>
  </si>
  <si>
    <t xml:space="preserve">ADHYA S RUBY </t>
  </si>
  <si>
    <t>AJEESHA AJITH KUMAR</t>
  </si>
  <si>
    <t xml:space="preserve">BHAGYA MOHAN D </t>
  </si>
  <si>
    <t>FIDHA MEHEK</t>
  </si>
  <si>
    <t>KALYANI. S. B</t>
  </si>
  <si>
    <t>PAVITRA NAIR D</t>
  </si>
  <si>
    <t>VEDHA A. S</t>
  </si>
  <si>
    <t>DEVADHARSH SUNIL</t>
  </si>
  <si>
    <t>VISHNU US</t>
  </si>
  <si>
    <t>Subject wise Consolidated Report (PLEASE USE 'AB' ONLY FOR ABSENTEES)</t>
  </si>
  <si>
    <t xml:space="preserve">Class : </t>
  </si>
  <si>
    <t>XI A</t>
  </si>
  <si>
    <t>2025-26</t>
  </si>
  <si>
    <t xml:space="preserve">PERIODIC TEST </t>
  </si>
  <si>
    <t xml:space="preserve">Accountancy </t>
  </si>
  <si>
    <t>BST</t>
  </si>
  <si>
    <t xml:space="preserve">ECONOMICS </t>
  </si>
  <si>
    <t xml:space="preserve">Hindi / Sanskrit </t>
  </si>
  <si>
    <t>IP</t>
  </si>
  <si>
    <t xml:space="preserve"> </t>
  </si>
  <si>
    <t>Allen V Ahmad</t>
  </si>
  <si>
    <t>Anakha B</t>
  </si>
  <si>
    <t>Anagha SJ</t>
  </si>
  <si>
    <t xml:space="preserve">Arpit Janardhanan </t>
  </si>
  <si>
    <t xml:space="preserve">Arush N S Nair </t>
  </si>
  <si>
    <t>Ashley A R</t>
  </si>
  <si>
    <t xml:space="preserve">B Manish Balaprabha </t>
  </si>
  <si>
    <t xml:space="preserve">B S Karthik Udaysri </t>
  </si>
  <si>
    <t>Charudath A N</t>
  </si>
  <si>
    <t xml:space="preserve">G Sri Vara Dharshini </t>
  </si>
  <si>
    <t xml:space="preserve">Hayana Yasmin </t>
  </si>
  <si>
    <t>Hridya K R</t>
  </si>
  <si>
    <t>Jyothimol S</t>
  </si>
  <si>
    <t>Kasinath P</t>
  </si>
  <si>
    <t>Lekshmi L</t>
  </si>
  <si>
    <t>Midhun S</t>
  </si>
  <si>
    <t>Naadhiya Sabu</t>
  </si>
  <si>
    <t>Sai Krishna T S</t>
  </si>
  <si>
    <t xml:space="preserve">Salmanul Farisi Z </t>
  </si>
  <si>
    <t>Sanoop PS</t>
  </si>
  <si>
    <t>Ujwal Krishna Sumesh</t>
  </si>
  <si>
    <t xml:space="preserve">Vaiga Eeshwar </t>
  </si>
  <si>
    <t>Vinay V S</t>
  </si>
  <si>
    <t>Anjana S A</t>
  </si>
  <si>
    <t>Daya S Bibin</t>
  </si>
  <si>
    <t>Aadhil Ameen</t>
  </si>
  <si>
    <t>Adithyan B A</t>
  </si>
  <si>
    <t>signature of subject teachers</t>
  </si>
  <si>
    <t>NOT APPEARED</t>
  </si>
  <si>
    <t>EXAM I/C</t>
  </si>
  <si>
    <t>PM SHRI KV CRPF PALLIPURAM</t>
  </si>
  <si>
    <t>XI B</t>
  </si>
  <si>
    <t>PERIODIC TEST JANUARY 2025-26</t>
  </si>
  <si>
    <t>PHYSICS</t>
  </si>
  <si>
    <t>CHEMISTRY</t>
  </si>
  <si>
    <t>BIOLOGY</t>
  </si>
  <si>
    <t>INFORMATICS PRACTICES</t>
  </si>
  <si>
    <t>Marks</t>
  </si>
  <si>
    <t xml:space="preserve">AARDRA BIJU                      </t>
  </si>
  <si>
    <t>ANANYA KRISHNA G S</t>
  </si>
  <si>
    <t>DEVANANDHA S J</t>
  </si>
  <si>
    <t>DHRITI SINHA</t>
  </si>
  <si>
    <t>KHUSHBOO KUMARI</t>
  </si>
  <si>
    <t>ABHINAV J</t>
  </si>
  <si>
    <t>VIJAY KUMAR GAUTAM</t>
  </si>
  <si>
    <t>AAYILYA SREERAM</t>
  </si>
  <si>
    <t>ABHISREE.A</t>
  </si>
  <si>
    <t>ADITHYA R</t>
  </si>
  <si>
    <t>AMITHA.M.JAYAN</t>
  </si>
  <si>
    <t>ANAMIKA S KUMAR</t>
  </si>
  <si>
    <t xml:space="preserve">ARUNDHATI ANIL NAG            </t>
  </si>
  <si>
    <t>DEVIKA G</t>
  </si>
  <si>
    <t>FATHIMA.N.J</t>
  </si>
  <si>
    <t xml:space="preserve">M S DEVANANDANA             </t>
  </si>
  <si>
    <t xml:space="preserve">NANDHANA R MANESH   </t>
  </si>
  <si>
    <t>NIVEDHYA RS</t>
  </si>
  <si>
    <t>PRARDHANA PRAMOD</t>
  </si>
  <si>
    <t>ROSHNI S R</t>
  </si>
  <si>
    <t>RUDHRA SUMESH</t>
  </si>
  <si>
    <t>SAHADIYA FATHIMA</t>
  </si>
  <si>
    <t>SNEHA PRAKASH</t>
  </si>
  <si>
    <t>THEJALEKSHMI.T</t>
  </si>
  <si>
    <t>VAIGA R RAJESH</t>
  </si>
  <si>
    <t>VANDANA RAJ B S</t>
  </si>
  <si>
    <t>ABHINAV R</t>
  </si>
  <si>
    <t xml:space="preserve">AKASH.A.S                            </t>
  </si>
  <si>
    <t>ARYAN A S</t>
  </si>
  <si>
    <t>DEV NANDAN.A.R</t>
  </si>
  <si>
    <t>IRFAN MUHAMMED.I</t>
  </si>
  <si>
    <t>P.S.ALAN</t>
  </si>
  <si>
    <t>RISHAB YADAV</t>
  </si>
  <si>
    <t>S S SOMANAATH</t>
  </si>
  <si>
    <t>SAURABH S</t>
  </si>
  <si>
    <t>THEJAS KRISHNA R</t>
  </si>
  <si>
    <t>XI C</t>
  </si>
  <si>
    <t>MONTHLY TEST JANUARY 2025-26</t>
  </si>
  <si>
    <t>COMP SC /IP</t>
  </si>
  <si>
    <t>ADITHYA A</t>
  </si>
  <si>
    <t>AVANI S</t>
  </si>
  <si>
    <t>BHADRA J S NAIR</t>
  </si>
  <si>
    <t>FIDA AHAMED  N</t>
  </si>
  <si>
    <t>cs</t>
  </si>
  <si>
    <t>NIVEDYA MANU</t>
  </si>
  <si>
    <t>SREYA S NAIR</t>
  </si>
  <si>
    <t>AADIDEV D M</t>
  </si>
  <si>
    <t>ABHIJITH P</t>
  </si>
  <si>
    <t>ABHIRAM A S</t>
  </si>
  <si>
    <t>ABHISHEK S R</t>
  </si>
  <si>
    <t xml:space="preserve">ALAN JITH </t>
  </si>
  <si>
    <t>ASWIN G</t>
  </si>
  <si>
    <t xml:space="preserve">ASHWIN SREEJESH </t>
  </si>
  <si>
    <t>AVINASH V A</t>
  </si>
  <si>
    <t>DEVANANDAN M S</t>
  </si>
  <si>
    <t>HARI KRISHNAN S</t>
  </si>
  <si>
    <t>OMKAR O S</t>
  </si>
  <si>
    <t xml:space="preserve">S AADHIL MUHAMMAD </t>
  </si>
  <si>
    <t>VAISHNAV V</t>
  </si>
  <si>
    <t xml:space="preserve">ASHNA ANIL </t>
  </si>
  <si>
    <t xml:space="preserve">DIYA SUNIL </t>
  </si>
  <si>
    <t>RIDHA FATHIMA</t>
  </si>
  <si>
    <t xml:space="preserve">SHOMA SARA AUGUSTIN </t>
  </si>
  <si>
    <t>🆎</t>
  </si>
  <si>
    <t>ABHINANDH V</t>
  </si>
  <si>
    <t xml:space="preserve">ABHIRAM ARUL </t>
  </si>
  <si>
    <t>ADITYA S</t>
  </si>
  <si>
    <t>AKARSH R S</t>
  </si>
  <si>
    <t>AKHIL V NAIR</t>
  </si>
  <si>
    <t xml:space="preserve">AKSHAJ SHAINU </t>
  </si>
  <si>
    <t>AMAL GOVIND S S</t>
  </si>
  <si>
    <t>ANANTHAN S B</t>
  </si>
  <si>
    <t xml:space="preserve">ARJUN MANOJ </t>
  </si>
  <si>
    <t>DEV R</t>
  </si>
  <si>
    <t xml:space="preserve">GOWTHAM NAIR S H </t>
  </si>
  <si>
    <t xml:space="preserve">JISHNU S KUMAR </t>
  </si>
  <si>
    <t>M MIRZA FAIZ</t>
  </si>
  <si>
    <t>MOHAMMED FARIZ</t>
  </si>
  <si>
    <t xml:space="preserve">P S ANUMOD CHANDRAN </t>
  </si>
  <si>
    <t>VAIBHAV S R</t>
  </si>
  <si>
    <t>SAHIL KUMAR SAMAL</t>
  </si>
  <si>
    <t>MALAVIKA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</si>
</sst>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89">
    <font>
      <sz val="10"/>
      <color rgb="FF000000"/>
      <name val="Arial"/>
      <scheme val="minor"/>
    </font>
    <font>
      <b/>
      <sz val="18"/>
      <color rgb="FFFF0000"/>
      <name val="Times New Roman"/>
    </font>
    <font>
      <b/>
      <sz val="18"/>
      <color theme="1"/>
      <name val="Times New Roman"/>
    </font>
    <font>
      <b/>
      <sz val="14"/>
      <color theme="1"/>
      <name val="Times New Roman"/>
    </font>
    <font>
      <sz val="11"/>
      <color theme="1"/>
      <name val="Calibri"/>
    </font>
    <font>
      <sz val="14"/>
      <color theme="1"/>
      <name val="Times New Roman"/>
    </font>
    <font>
      <sz val="10"/>
      <name val="Arial"/>
    </font>
    <font>
      <b/>
      <sz val="11"/>
      <color theme="1"/>
      <name val="Times New Roman"/>
    </font>
    <font>
      <b/>
      <sz val="16"/>
      <color theme="1"/>
      <name val="Times New Roman"/>
    </font>
    <font>
      <b/>
      <sz val="10"/>
      <color theme="1"/>
      <name val="Times New Roman"/>
    </font>
    <font>
      <b/>
      <sz val="10"/>
      <color rgb="FFFF0000"/>
      <name val="Times New Roman"/>
    </font>
    <font>
      <b/>
      <sz val="12"/>
      <color theme="1"/>
      <name val="Arial"/>
    </font>
    <font>
      <sz val="14"/>
      <color rgb="FF000000"/>
      <name val="&quot;Times New Roman&quot;"/>
    </font>
    <font>
      <sz val="9"/>
      <color theme="1"/>
      <name val="Arial"/>
    </font>
    <font>
      <sz val="12"/>
      <color theme="1"/>
      <name val="Arial"/>
    </font>
    <font>
      <sz val="11"/>
      <color rgb="FF000000"/>
      <name val="Calibri"/>
    </font>
    <font>
      <b/>
      <sz val="12"/>
      <color theme="1"/>
      <name val="Times New Roman"/>
    </font>
    <font>
      <b/>
      <sz val="14"/>
      <color theme="1"/>
      <name val="Calibri"/>
    </font>
    <font>
      <b/>
      <sz val="24"/>
      <color theme="1"/>
      <name val="Times New Roman"/>
    </font>
    <font>
      <sz val="8"/>
      <color theme="1"/>
      <name val="Arial"/>
    </font>
    <font>
      <sz val="12"/>
      <color theme="1"/>
      <name val="Calibri"/>
    </font>
    <font>
      <sz val="11"/>
      <color theme="1"/>
      <name val="Arial"/>
    </font>
    <font>
      <sz val="18"/>
      <color theme="1"/>
      <name val="Calibri"/>
    </font>
    <font>
      <sz val="11"/>
      <color theme="1"/>
      <name val="Times New Roman"/>
    </font>
    <font>
      <b/>
      <i/>
      <sz val="9"/>
      <color rgb="FFFF0000"/>
      <name val="Arial"/>
    </font>
    <font>
      <sz val="14"/>
      <color rgb="FF000000"/>
      <name val="Calibri"/>
    </font>
    <font>
      <b/>
      <i/>
      <sz val="11"/>
      <color theme="1"/>
      <name val="Times New Roman"/>
    </font>
    <font>
      <sz val="10"/>
      <color theme="1"/>
      <name val="Arial"/>
      <scheme val="minor"/>
    </font>
    <font>
      <b/>
      <i/>
      <sz val="11"/>
      <color rgb="FFFF0000"/>
      <name val="Arial"/>
    </font>
    <font>
      <sz val="14"/>
      <color theme="1"/>
      <name val="Calibri"/>
    </font>
    <font>
      <b/>
      <i/>
      <sz val="14"/>
      <color rgb="FFFF0000"/>
      <name val="Calibri"/>
    </font>
    <font>
      <sz val="13"/>
      <color theme="1"/>
      <name val="Arial"/>
    </font>
    <font>
      <b/>
      <sz val="13"/>
      <color theme="1"/>
      <name val="Arial"/>
    </font>
    <font>
      <sz val="14"/>
      <color rgb="FFFF0000"/>
      <name val="Times New Roman"/>
    </font>
    <font>
      <sz val="10"/>
      <color theme="1"/>
      <name val="Arial"/>
    </font>
    <font>
      <b/>
      <sz val="18"/>
      <color theme="1"/>
      <name val="Calibri"/>
    </font>
    <font>
      <b/>
      <sz val="9"/>
      <color theme="1"/>
      <name val="Times New Roman"/>
    </font>
    <font>
      <b/>
      <i/>
      <sz val="14"/>
      <color rgb="FFFF0000"/>
      <name val="&quot;Times New Roman&quot;"/>
    </font>
    <font>
      <b/>
      <sz val="11"/>
      <color theme="1"/>
      <name val="Arial"/>
    </font>
    <font>
      <i/>
      <sz val="14"/>
      <color theme="1"/>
      <name val="Times New Roman"/>
    </font>
    <font>
      <b/>
      <i/>
      <sz val="14"/>
      <color rgb="FFFF0000"/>
      <name val="Times New Roman"/>
    </font>
    <font>
      <b/>
      <sz val="14"/>
      <color rgb="FF000000"/>
      <name val="&quot;Times New Roman&quot;"/>
    </font>
    <font>
      <b/>
      <sz val="11"/>
      <color rgb="FFFF0000"/>
      <name val="Calibri"/>
    </font>
    <font>
      <b/>
      <sz val="11"/>
      <color rgb="FFFF0000"/>
      <name val="Times New Roman"/>
    </font>
    <font>
      <sz val="11"/>
      <color rgb="FF000000"/>
      <name val="&quot;Times New Roman&quot;"/>
    </font>
    <font>
      <sz val="11"/>
      <color rgb="FFFF0000"/>
      <name val="&quot;Times New Roman&quot;"/>
    </font>
    <font>
      <sz val="11"/>
      <color theme="1"/>
      <name val="&quot;Times New Roman&quot;"/>
    </font>
    <font>
      <sz val="16"/>
      <color theme="1"/>
      <name val="Calibri"/>
    </font>
    <font>
      <b/>
      <i/>
      <sz val="11"/>
      <color rgb="FFFF0000"/>
      <name val="Calibri"/>
    </font>
    <font>
      <sz val="16"/>
      <color theme="1"/>
      <name val="Times New Roman"/>
    </font>
    <font>
      <b/>
      <sz val="15"/>
      <color theme="1"/>
      <name val="Times New Roman"/>
    </font>
    <font>
      <b/>
      <sz val="21"/>
      <color theme="1"/>
      <name val="Times New Roman"/>
    </font>
    <font>
      <sz val="13"/>
      <color theme="1"/>
      <name val="Times New Roman"/>
    </font>
    <font>
      <sz val="15"/>
      <color theme="1"/>
      <name val="Times New Roman"/>
    </font>
    <font>
      <sz val="10"/>
      <color theme="1"/>
      <name val="Times New Roman"/>
    </font>
    <font>
      <b/>
      <sz val="11"/>
      <color theme="1"/>
      <name val="Calibri"/>
    </font>
    <font>
      <b/>
      <sz val="14"/>
      <color rgb="FFFF0000"/>
      <name val="Times New Roman"/>
    </font>
    <font>
      <sz val="12"/>
      <color theme="1"/>
      <name val="Times New Roman"/>
    </font>
    <font>
      <sz val="12"/>
      <color rgb="FFFF00FF"/>
      <name val="Times New Roman"/>
    </font>
    <font>
      <i/>
      <sz val="12"/>
      <color rgb="FFFF00FF"/>
      <name val="Times New Roman"/>
    </font>
    <font>
      <b/>
      <i/>
      <sz val="12"/>
      <color rgb="FFFF00FF"/>
      <name val="Times New Roman"/>
    </font>
    <font>
      <i/>
      <sz val="12"/>
      <color rgb="FF0000FF"/>
      <name val="Times New Roman"/>
    </font>
    <font>
      <b/>
      <sz val="12"/>
      <color theme="1"/>
      <name val="Calibri"/>
    </font>
    <font>
      <b/>
      <sz val="12"/>
      <color rgb="FF0000FF"/>
      <name val="Times New Roman"/>
    </font>
    <font>
      <b/>
      <sz val="12"/>
      <color rgb="FF000000"/>
      <name val="Calibri"/>
    </font>
    <font>
      <i/>
      <sz val="15"/>
      <color rgb="FF0000FF"/>
      <name val="Times New Roman"/>
    </font>
    <font>
      <b/>
      <sz val="12"/>
      <color rgb="FFFFC000"/>
      <name val="Times New Roman"/>
    </font>
    <font>
      <b/>
      <sz val="12"/>
      <color rgb="FF9900FF"/>
      <name val="Times New Roman"/>
    </font>
    <font>
      <b/>
      <sz val="16"/>
      <color rgb="FFFF0000"/>
      <name val="Times New Roman"/>
    </font>
    <font>
      <b/>
      <sz val="19"/>
      <color theme="1"/>
      <name val="Times New Roman"/>
    </font>
    <font>
      <sz val="18"/>
      <color rgb="FFFF00FF"/>
      <name val="Times New Roman"/>
    </font>
    <font>
      <i/>
      <sz val="18"/>
      <color rgb="FFFF00FF"/>
      <name val="Times New Roman"/>
    </font>
    <font>
      <b/>
      <i/>
      <sz val="18"/>
      <color rgb="FFFF00FF"/>
      <name val="Times New Roman"/>
    </font>
    <font>
      <sz val="18"/>
      <color theme="1"/>
      <name val="Times New Roman"/>
    </font>
    <font>
      <i/>
      <sz val="18"/>
      <color rgb="FF0000FF"/>
      <name val="Times New Roman"/>
    </font>
    <font>
      <b/>
      <i/>
      <sz val="18"/>
      <color rgb="FF0000FF"/>
      <name val="Times New Roman"/>
    </font>
    <font>
      <sz val="18"/>
      <color rgb="FF000000"/>
      <name val="&quot;Times New Roman&quot;"/>
    </font>
    <font>
      <b/>
      <sz val="14"/>
      <color rgb="FF9900FF"/>
      <name val="Times New Roman"/>
    </font>
    <font>
      <b/>
      <sz val="18"/>
      <color rgb="FF9900FF"/>
      <name val="Times New Roman"/>
    </font>
    <font>
      <b/>
      <sz val="22"/>
      <color rgb="FFFF0000"/>
      <name val="Times New Roman"/>
    </font>
    <font>
      <b/>
      <sz val="22"/>
      <color theme="1"/>
      <name val="Times New Roman"/>
    </font>
    <font>
      <sz val="22"/>
      <color theme="1"/>
      <name val="Times New Roman"/>
    </font>
    <font>
      <sz val="22"/>
      <color rgb="FFFF00FF"/>
      <name val="Times New Roman"/>
    </font>
    <font>
      <i/>
      <sz val="22"/>
      <color rgb="FFFF00FF"/>
      <name val="Times New Roman"/>
    </font>
    <font>
      <b/>
      <i/>
      <sz val="22"/>
      <color rgb="FFFF00FF"/>
      <name val="Times New Roman"/>
    </font>
    <font>
      <i/>
      <sz val="22"/>
      <color rgb="FF0000FF"/>
      <name val="Times New Roman"/>
    </font>
    <font>
      <sz val="22"/>
      <color theme="1"/>
      <name val="Calibri"/>
    </font>
    <font>
      <b/>
      <sz val="22"/>
      <color rgb="FF000000"/>
      <name val="&quot;Times New Roman&quot;"/>
    </font>
    <font>
      <b/>
      <sz val="22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FF0000"/>
        <bgColor rgb="FFFF0000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5">
    <xf numFmtId="0" fontId="0" fillId="0" borderId="0" xfId="0"/>
    <xf numFmtId="0" fontId="4" fillId="0" borderId="0" xfId="0" applyFont="1"/>
    <xf numFmtId="0" fontId="7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7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1" fillId="0" borderId="8" xfId="0" applyFont="1" applyBorder="1"/>
    <xf numFmtId="0" fontId="12" fillId="2" borderId="7" xfId="0" applyFont="1" applyFill="1" applyBorder="1" applyAlignment="1">
      <alignment horizontal="center"/>
    </xf>
    <xf numFmtId="1" fontId="13" fillId="2" borderId="10" xfId="0" applyNumberFormat="1" applyFont="1" applyFill="1" applyBorder="1" applyAlignment="1">
      <alignment horizontal="right"/>
    </xf>
    <xf numFmtId="1" fontId="4" fillId="0" borderId="8" xfId="0" applyNumberFormat="1" applyFont="1" applyBorder="1" applyAlignment="1">
      <alignment horizontal="right"/>
    </xf>
    <xf numFmtId="1" fontId="5" fillId="0" borderId="8" xfId="0" applyNumberFormat="1" applyFont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11" fillId="0" borderId="9" xfId="0" applyFont="1" applyBorder="1"/>
    <xf numFmtId="0" fontId="12" fillId="2" borderId="5" xfId="0" applyFont="1" applyFill="1" applyBorder="1" applyAlignment="1">
      <alignment horizontal="center"/>
    </xf>
    <xf numFmtId="1" fontId="4" fillId="0" borderId="9" xfId="0" applyNumberFormat="1" applyFont="1" applyBorder="1" applyAlignment="1">
      <alignment horizontal="right"/>
    </xf>
    <xf numFmtId="0" fontId="4" fillId="0" borderId="8" xfId="0" applyFont="1" applyBorder="1"/>
    <xf numFmtId="0" fontId="14" fillId="0" borderId="9" xfId="0" applyFont="1" applyBorder="1" applyAlignment="1">
      <alignment horizontal="center"/>
    </xf>
    <xf numFmtId="1" fontId="13" fillId="2" borderId="10" xfId="0" applyNumberFormat="1" applyFont="1" applyFill="1" applyBorder="1"/>
    <xf numFmtId="0" fontId="15" fillId="2" borderId="5" xfId="0" applyFont="1" applyFill="1" applyBorder="1" applyAlignment="1">
      <alignment horizontal="right"/>
    </xf>
    <xf numFmtId="1" fontId="4" fillId="2" borderId="10" xfId="0" applyNumberFormat="1" applyFont="1" applyFill="1" applyBorder="1"/>
    <xf numFmtId="1" fontId="4" fillId="2" borderId="9" xfId="0" applyNumberFormat="1" applyFont="1" applyFill="1" applyBorder="1" applyAlignment="1">
      <alignment horizontal="right"/>
    </xf>
    <xf numFmtId="1" fontId="5" fillId="2" borderId="8" xfId="0" applyNumberFormat="1" applyFont="1" applyFill="1" applyBorder="1" applyAlignment="1">
      <alignment horizontal="center"/>
    </xf>
    <xf numFmtId="1" fontId="5" fillId="2" borderId="9" xfId="0" applyNumberFormat="1" applyFont="1" applyFill="1" applyBorder="1" applyAlignment="1">
      <alignment horizontal="center"/>
    </xf>
    <xf numFmtId="1" fontId="5" fillId="2" borderId="7" xfId="0" applyNumberFormat="1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1" fillId="2" borderId="4" xfId="0" applyFont="1" applyFill="1" applyBorder="1"/>
    <xf numFmtId="0" fontId="12" fillId="0" borderId="5" xfId="0" applyFont="1" applyBorder="1" applyAlignment="1">
      <alignment horizontal="center"/>
    </xf>
    <xf numFmtId="1" fontId="12" fillId="0" borderId="5" xfId="0" applyNumberFormat="1" applyFont="1" applyBorder="1" applyAlignment="1">
      <alignment horizontal="center"/>
    </xf>
    <xf numFmtId="0" fontId="15" fillId="0" borderId="5" xfId="0" applyFont="1" applyBorder="1"/>
    <xf numFmtId="1" fontId="15" fillId="0" borderId="5" xfId="0" applyNumberFormat="1" applyFont="1" applyBorder="1" applyAlignment="1">
      <alignment horizontal="right"/>
    </xf>
    <xf numFmtId="1" fontId="4" fillId="0" borderId="8" xfId="0" applyNumberFormat="1" applyFont="1" applyBorder="1"/>
    <xf numFmtId="1" fontId="4" fillId="0" borderId="9" xfId="0" applyNumberFormat="1" applyFont="1" applyBorder="1"/>
    <xf numFmtId="164" fontId="4" fillId="0" borderId="8" xfId="0" applyNumberFormat="1" applyFont="1" applyBorder="1"/>
    <xf numFmtId="1" fontId="4" fillId="0" borderId="7" xfId="0" applyNumberFormat="1" applyFont="1" applyBorder="1"/>
    <xf numFmtId="0" fontId="5" fillId="0" borderId="8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16" fillId="0" borderId="9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3" fillId="0" borderId="8" xfId="0" applyFont="1" applyBorder="1" applyAlignment="1">
      <alignment horizontal="center"/>
    </xf>
    <xf numFmtId="0" fontId="4" fillId="0" borderId="6" xfId="0" applyFont="1" applyBorder="1"/>
    <xf numFmtId="0" fontId="3" fillId="0" borderId="2" xfId="0" applyFont="1" applyBorder="1" applyAlignment="1">
      <alignment horizontal="center"/>
    </xf>
    <xf numFmtId="164" fontId="4" fillId="0" borderId="7" xfId="0" applyNumberFormat="1" applyFont="1" applyBorder="1"/>
    <xf numFmtId="0" fontId="4" fillId="0" borderId="12" xfId="0" applyFont="1" applyBorder="1"/>
    <xf numFmtId="0" fontId="4" fillId="0" borderId="14" xfId="0" applyFont="1" applyBorder="1"/>
    <xf numFmtId="0" fontId="3" fillId="0" borderId="14" xfId="0" applyFont="1" applyBorder="1" applyAlignment="1">
      <alignment horizontal="center"/>
    </xf>
    <xf numFmtId="0" fontId="7" fillId="0" borderId="9" xfId="0" applyFont="1" applyBorder="1" applyAlignment="1">
      <alignment horizontal="center" wrapText="1"/>
    </xf>
    <xf numFmtId="0" fontId="19" fillId="2" borderId="8" xfId="0" applyFont="1" applyFill="1" applyBorder="1"/>
    <xf numFmtId="0" fontId="12" fillId="0" borderId="7" xfId="0" applyFont="1" applyBorder="1" applyAlignment="1">
      <alignment horizontal="center"/>
    </xf>
    <xf numFmtId="1" fontId="4" fillId="0" borderId="15" xfId="0" applyNumberFormat="1" applyFont="1" applyBorder="1" applyAlignment="1">
      <alignment horizontal="right"/>
    </xf>
    <xf numFmtId="0" fontId="20" fillId="0" borderId="15" xfId="0" applyFont="1" applyBorder="1" applyAlignment="1">
      <alignment horizontal="center"/>
    </xf>
    <xf numFmtId="0" fontId="21" fillId="0" borderId="15" xfId="0" applyFont="1" applyBorder="1" applyAlignment="1">
      <alignment horizontal="right"/>
    </xf>
    <xf numFmtId="1" fontId="3" fillId="2" borderId="8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right"/>
    </xf>
    <xf numFmtId="0" fontId="22" fillId="0" borderId="9" xfId="0" applyFont="1" applyBorder="1" applyAlignment="1">
      <alignment horizontal="center"/>
    </xf>
    <xf numFmtId="1" fontId="21" fillId="0" borderId="9" xfId="0" applyNumberFormat="1" applyFont="1" applyBorder="1" applyAlignment="1">
      <alignment horizontal="right"/>
    </xf>
    <xf numFmtId="0" fontId="20" fillId="0" borderId="9" xfId="0" applyFont="1" applyBorder="1" applyAlignment="1">
      <alignment horizontal="center"/>
    </xf>
    <xf numFmtId="1" fontId="5" fillId="3" borderId="7" xfId="0" applyNumberFormat="1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1" fillId="0" borderId="9" xfId="0" applyFont="1" applyBorder="1" applyAlignment="1">
      <alignment horizontal="right"/>
    </xf>
    <xf numFmtId="0" fontId="23" fillId="0" borderId="9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1" fontId="24" fillId="2" borderId="10" xfId="0" applyNumberFormat="1" applyFont="1" applyFill="1" applyBorder="1"/>
    <xf numFmtId="1" fontId="5" fillId="3" borderId="8" xfId="0" applyNumberFormat="1" applyFont="1" applyFill="1" applyBorder="1" applyAlignment="1">
      <alignment horizontal="center"/>
    </xf>
    <xf numFmtId="0" fontId="23" fillId="3" borderId="8" xfId="0" applyFont="1" applyFill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1" fontId="13" fillId="3" borderId="10" xfId="0" applyNumberFormat="1" applyFont="1" applyFill="1" applyBorder="1" applyAlignment="1">
      <alignment horizontal="right"/>
    </xf>
    <xf numFmtId="0" fontId="26" fillId="0" borderId="8" xfId="0" applyFont="1" applyBorder="1" applyAlignment="1">
      <alignment horizontal="center"/>
    </xf>
    <xf numFmtId="0" fontId="5" fillId="0" borderId="8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0" fontId="23" fillId="0" borderId="0" xfId="0" applyFont="1"/>
    <xf numFmtId="0" fontId="4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28" fillId="0" borderId="9" xfId="0" applyFont="1" applyBorder="1" applyAlignment="1">
      <alignment horizontal="right"/>
    </xf>
    <xf numFmtId="1" fontId="5" fillId="3" borderId="9" xfId="0" applyNumberFormat="1" applyFont="1" applyFill="1" applyBorder="1" applyAlignment="1">
      <alignment horizontal="center"/>
    </xf>
    <xf numFmtId="0" fontId="11" fillId="4" borderId="9" xfId="0" applyFont="1" applyFill="1" applyBorder="1"/>
    <xf numFmtId="0" fontId="5" fillId="4" borderId="8" xfId="0" applyFont="1" applyFill="1" applyBorder="1" applyAlignment="1">
      <alignment horizontal="center"/>
    </xf>
    <xf numFmtId="1" fontId="5" fillId="4" borderId="8" xfId="0" applyNumberFormat="1" applyFont="1" applyFill="1" applyBorder="1" applyAlignment="1">
      <alignment horizontal="center"/>
    </xf>
    <xf numFmtId="0" fontId="4" fillId="4" borderId="9" xfId="0" applyFont="1" applyFill="1" applyBorder="1" applyAlignment="1">
      <alignment horizontal="right"/>
    </xf>
    <xf numFmtId="0" fontId="4" fillId="4" borderId="8" xfId="0" applyFont="1" applyFill="1" applyBorder="1"/>
    <xf numFmtId="1" fontId="4" fillId="4" borderId="9" xfId="0" applyNumberFormat="1" applyFont="1" applyFill="1" applyBorder="1"/>
    <xf numFmtId="0" fontId="4" fillId="4" borderId="9" xfId="0" applyFont="1" applyFill="1" applyBorder="1"/>
    <xf numFmtId="1" fontId="4" fillId="4" borderId="7" xfId="0" applyNumberFormat="1" applyFont="1" applyFill="1" applyBorder="1"/>
    <xf numFmtId="1" fontId="4" fillId="4" borderId="8" xfId="0" applyNumberFormat="1" applyFont="1" applyFill="1" applyBorder="1"/>
    <xf numFmtId="164" fontId="5" fillId="4" borderId="8" xfId="0" applyNumberFormat="1" applyFont="1" applyFill="1" applyBorder="1" applyAlignment="1">
      <alignment horizontal="center"/>
    </xf>
    <xf numFmtId="0" fontId="20" fillId="0" borderId="8" xfId="0" applyFont="1" applyBorder="1" applyAlignment="1">
      <alignment horizontal="right"/>
    </xf>
    <xf numFmtId="1" fontId="5" fillId="0" borderId="8" xfId="0" applyNumberFormat="1" applyFont="1" applyBorder="1" applyAlignment="1">
      <alignment horizontal="right"/>
    </xf>
    <xf numFmtId="1" fontId="21" fillId="0" borderId="0" xfId="0" applyNumberFormat="1" applyFont="1" applyAlignment="1">
      <alignment horizontal="right"/>
    </xf>
    <xf numFmtId="0" fontId="29" fillId="0" borderId="8" xfId="0" applyFont="1" applyBorder="1" applyAlignment="1">
      <alignment horizontal="center"/>
    </xf>
    <xf numFmtId="0" fontId="30" fillId="0" borderId="8" xfId="0" applyFont="1" applyBorder="1" applyAlignment="1">
      <alignment horizontal="center"/>
    </xf>
    <xf numFmtId="1" fontId="28" fillId="0" borderId="0" xfId="0" applyNumberFormat="1" applyFont="1"/>
    <xf numFmtId="0" fontId="4" fillId="0" borderId="4" xfId="0" applyFont="1" applyBorder="1"/>
    <xf numFmtId="1" fontId="4" fillId="0" borderId="0" xfId="0" applyNumberFormat="1" applyFont="1"/>
    <xf numFmtId="0" fontId="3" fillId="0" borderId="9" xfId="0" applyFont="1" applyBorder="1" applyAlignment="1">
      <alignment horizontal="center" wrapText="1"/>
    </xf>
    <xf numFmtId="0" fontId="31" fillId="0" borderId="8" xfId="0" applyFont="1" applyBorder="1" applyAlignment="1">
      <alignment vertical="top"/>
    </xf>
    <xf numFmtId="0" fontId="21" fillId="0" borderId="15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1" fillId="3" borderId="9" xfId="0" applyFont="1" applyFill="1" applyBorder="1" applyAlignment="1">
      <alignment horizontal="center"/>
    </xf>
    <xf numFmtId="0" fontId="32" fillId="0" borderId="8" xfId="0" applyFont="1" applyBorder="1" applyAlignment="1">
      <alignment vertical="top"/>
    </xf>
    <xf numFmtId="1" fontId="21" fillId="3" borderId="9" xfId="0" applyNumberFormat="1" applyFont="1" applyFill="1" applyBorder="1" applyAlignment="1">
      <alignment horizontal="center"/>
    </xf>
    <xf numFmtId="1" fontId="33" fillId="0" borderId="8" xfId="0" applyNumberFormat="1" applyFont="1" applyBorder="1" applyAlignment="1">
      <alignment horizontal="center"/>
    </xf>
    <xf numFmtId="0" fontId="31" fillId="0" borderId="8" xfId="0" applyFont="1" applyBorder="1"/>
    <xf numFmtId="0" fontId="15" fillId="0" borderId="16" xfId="0" applyFont="1" applyBorder="1" applyAlignment="1">
      <alignment horizontal="right"/>
    </xf>
    <xf numFmtId="0" fontId="4" fillId="0" borderId="7" xfId="0" applyFont="1" applyBorder="1"/>
    <xf numFmtId="0" fontId="15" fillId="0" borderId="0" xfId="0" applyFont="1" applyAlignment="1">
      <alignment horizontal="right"/>
    </xf>
    <xf numFmtId="0" fontId="4" fillId="0" borderId="15" xfId="0" applyFont="1" applyBorder="1" applyAlignment="1">
      <alignment horizontal="right"/>
    </xf>
    <xf numFmtId="0" fontId="21" fillId="0" borderId="8" xfId="0" applyFont="1" applyBorder="1" applyAlignment="1">
      <alignment horizontal="right"/>
    </xf>
    <xf numFmtId="0" fontId="4" fillId="5" borderId="8" xfId="0" applyFont="1" applyFill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4" fillId="0" borderId="8" xfId="0" applyFont="1" applyBorder="1"/>
    <xf numFmtId="0" fontId="34" fillId="0" borderId="0" xfId="0" applyFont="1"/>
    <xf numFmtId="0" fontId="4" fillId="5" borderId="17" xfId="0" applyFont="1" applyFill="1" applyBorder="1" applyAlignment="1">
      <alignment horizontal="center"/>
    </xf>
    <xf numFmtId="0" fontId="21" fillId="3" borderId="9" xfId="0" applyFont="1" applyFill="1" applyBorder="1" applyAlignment="1">
      <alignment horizontal="right"/>
    </xf>
    <xf numFmtId="1" fontId="21" fillId="3" borderId="9" xfId="0" applyNumberFormat="1" applyFont="1" applyFill="1" applyBorder="1" applyAlignment="1">
      <alignment horizontal="right"/>
    </xf>
    <xf numFmtId="1" fontId="4" fillId="0" borderId="7" xfId="0" applyNumberFormat="1" applyFont="1" applyBorder="1" applyAlignment="1">
      <alignment horizontal="right"/>
    </xf>
    <xf numFmtId="1" fontId="34" fillId="0" borderId="8" xfId="0" applyNumberFormat="1" applyFont="1" applyBorder="1"/>
    <xf numFmtId="164" fontId="34" fillId="0" borderId="8" xfId="0" applyNumberFormat="1" applyFont="1" applyBorder="1"/>
    <xf numFmtId="0" fontId="5" fillId="0" borderId="8" xfId="0" applyFont="1" applyBorder="1"/>
    <xf numFmtId="0" fontId="9" fillId="0" borderId="4" xfId="0" applyFont="1" applyBorder="1" applyAlignment="1">
      <alignment horizontal="center"/>
    </xf>
    <xf numFmtId="0" fontId="16" fillId="0" borderId="8" xfId="0" applyFont="1" applyBorder="1"/>
    <xf numFmtId="1" fontId="3" fillId="0" borderId="8" xfId="0" applyNumberFormat="1" applyFont="1" applyBorder="1" applyAlignment="1">
      <alignment horizontal="center"/>
    </xf>
    <xf numFmtId="1" fontId="3" fillId="3" borderId="9" xfId="0" applyNumberFormat="1" applyFont="1" applyFill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" fontId="3" fillId="3" borderId="8" xfId="0" applyNumberFormat="1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1" fontId="7" fillId="3" borderId="17" xfId="0" applyNumberFormat="1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17" fillId="0" borderId="8" xfId="0" applyFont="1" applyBorder="1"/>
    <xf numFmtId="0" fontId="35" fillId="0" borderId="8" xfId="0" applyFont="1" applyBorder="1" applyAlignment="1">
      <alignment horizontal="center"/>
    </xf>
    <xf numFmtId="0" fontId="3" fillId="0" borderId="8" xfId="0" applyFont="1" applyBorder="1"/>
    <xf numFmtId="0" fontId="9" fillId="0" borderId="8" xfId="0" applyFont="1" applyBorder="1" applyAlignment="1">
      <alignment horizontal="center"/>
    </xf>
    <xf numFmtId="0" fontId="21" fillId="0" borderId="8" xfId="0" applyFont="1" applyBorder="1"/>
    <xf numFmtId="0" fontId="5" fillId="3" borderId="8" xfId="0" applyFont="1" applyFill="1" applyBorder="1" applyAlignment="1">
      <alignment horizontal="center"/>
    </xf>
    <xf numFmtId="1" fontId="37" fillId="0" borderId="5" xfId="0" applyNumberFormat="1" applyFont="1" applyBorder="1" applyAlignment="1">
      <alignment horizontal="center"/>
    </xf>
    <xf numFmtId="1" fontId="15" fillId="0" borderId="5" xfId="0" applyNumberFormat="1" applyFont="1" applyBorder="1"/>
    <xf numFmtId="0" fontId="21" fillId="0" borderId="0" xfId="0" applyFont="1"/>
    <xf numFmtId="0" fontId="14" fillId="0" borderId="8" xfId="0" applyFont="1" applyBorder="1" applyAlignment="1">
      <alignment vertical="top"/>
    </xf>
    <xf numFmtId="1" fontId="21" fillId="0" borderId="15" xfId="0" applyNumberFormat="1" applyFont="1" applyBorder="1" applyAlignment="1">
      <alignment horizontal="right"/>
    </xf>
    <xf numFmtId="0" fontId="14" fillId="0" borderId="9" xfId="0" applyFont="1" applyBorder="1" applyAlignment="1">
      <alignment vertical="top"/>
    </xf>
    <xf numFmtId="0" fontId="38" fillId="0" borderId="9" xfId="0" applyFont="1" applyBorder="1" applyAlignment="1">
      <alignment horizontal="right"/>
    </xf>
    <xf numFmtId="0" fontId="39" fillId="0" borderId="8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40" fillId="0" borderId="15" xfId="0" applyFont="1" applyBorder="1" applyAlignment="1">
      <alignment horizontal="center"/>
    </xf>
    <xf numFmtId="1" fontId="40" fillId="0" borderId="8" xfId="0" applyNumberFormat="1" applyFont="1" applyBorder="1" applyAlignment="1">
      <alignment horizontal="center"/>
    </xf>
    <xf numFmtId="1" fontId="41" fillId="0" borderId="5" xfId="0" applyNumberFormat="1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1" fontId="12" fillId="0" borderId="5" xfId="0" applyNumberFormat="1" applyFont="1" applyBorder="1" applyAlignment="1">
      <alignment horizontal="right"/>
    </xf>
    <xf numFmtId="0" fontId="40" fillId="0" borderId="9" xfId="0" applyFont="1" applyBorder="1" applyAlignment="1">
      <alignment horizontal="center"/>
    </xf>
    <xf numFmtId="0" fontId="42" fillId="0" borderId="9" xfId="0" applyFont="1" applyBorder="1" applyAlignment="1">
      <alignment horizontal="center"/>
    </xf>
    <xf numFmtId="1" fontId="42" fillId="0" borderId="8" xfId="0" applyNumberFormat="1" applyFont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40" fillId="0" borderId="9" xfId="0" applyFont="1" applyBorder="1" applyAlignment="1">
      <alignment horizontal="right"/>
    </xf>
    <xf numFmtId="0" fontId="33" fillId="0" borderId="9" xfId="0" applyFont="1" applyBorder="1" applyAlignment="1">
      <alignment horizontal="center"/>
    </xf>
    <xf numFmtId="0" fontId="3" fillId="0" borderId="9" xfId="0" applyFont="1" applyBorder="1"/>
    <xf numFmtId="1" fontId="5" fillId="0" borderId="9" xfId="0" applyNumberFormat="1" applyFont="1" applyBorder="1" applyAlignment="1">
      <alignment horizontal="right"/>
    </xf>
    <xf numFmtId="2" fontId="4" fillId="0" borderId="7" xfId="0" applyNumberFormat="1" applyFont="1" applyBorder="1"/>
    <xf numFmtId="0" fontId="21" fillId="0" borderId="8" xfId="0" applyFont="1" applyBorder="1" applyAlignment="1">
      <alignment vertical="top" wrapText="1"/>
    </xf>
    <xf numFmtId="0" fontId="21" fillId="0" borderId="9" xfId="0" applyFont="1" applyBorder="1" applyAlignment="1">
      <alignment vertical="top" wrapText="1"/>
    </xf>
    <xf numFmtId="0" fontId="40" fillId="0" borderId="8" xfId="0" applyFont="1" applyBorder="1" applyAlignment="1">
      <alignment horizontal="center"/>
    </xf>
    <xf numFmtId="0" fontId="23" fillId="0" borderId="8" xfId="0" applyFont="1" applyBorder="1"/>
    <xf numFmtId="0" fontId="7" fillId="0" borderId="8" xfId="0" applyFont="1" applyBorder="1" applyAlignment="1">
      <alignment horizontal="center" wrapText="1"/>
    </xf>
    <xf numFmtId="0" fontId="43" fillId="0" borderId="8" xfId="0" applyFont="1" applyBorder="1" applyAlignment="1">
      <alignment horizontal="center" wrapText="1"/>
    </xf>
    <xf numFmtId="0" fontId="23" fillId="0" borderId="4" xfId="0" applyFont="1" applyBorder="1" applyAlignment="1">
      <alignment horizontal="center"/>
    </xf>
    <xf numFmtId="0" fontId="44" fillId="2" borderId="5" xfId="0" applyFont="1" applyFill="1" applyBorder="1" applyAlignment="1">
      <alignment horizontal="center"/>
    </xf>
    <xf numFmtId="1" fontId="23" fillId="0" borderId="8" xfId="0" applyNumberFormat="1" applyFont="1" applyBorder="1" applyAlignment="1">
      <alignment horizontal="center"/>
    </xf>
    <xf numFmtId="1" fontId="23" fillId="3" borderId="8" xfId="0" applyNumberFormat="1" applyFont="1" applyFill="1" applyBorder="1" applyAlignment="1">
      <alignment horizontal="center"/>
    </xf>
    <xf numFmtId="0" fontId="23" fillId="0" borderId="15" xfId="0" applyFont="1" applyBorder="1" applyAlignment="1">
      <alignment horizontal="center"/>
    </xf>
    <xf numFmtId="1" fontId="15" fillId="2" borderId="5" xfId="0" applyNumberFormat="1" applyFont="1" applyFill="1" applyBorder="1"/>
    <xf numFmtId="1" fontId="23" fillId="0" borderId="1" xfId="0" applyNumberFormat="1" applyFont="1" applyBorder="1" applyAlignment="1">
      <alignment horizontal="right"/>
    </xf>
    <xf numFmtId="164" fontId="23" fillId="0" borderId="8" xfId="0" applyNumberFormat="1" applyFont="1" applyBorder="1" applyAlignment="1">
      <alignment horizontal="center"/>
    </xf>
    <xf numFmtId="0" fontId="23" fillId="0" borderId="9" xfId="0" applyFont="1" applyBorder="1"/>
    <xf numFmtId="1" fontId="23" fillId="0" borderId="11" xfId="0" applyNumberFormat="1" applyFont="1" applyBorder="1" applyAlignment="1">
      <alignment horizontal="right"/>
    </xf>
    <xf numFmtId="1" fontId="15" fillId="2" borderId="5" xfId="0" applyNumberFormat="1" applyFont="1" applyFill="1" applyBorder="1" applyAlignment="1">
      <alignment horizontal="center"/>
    </xf>
    <xf numFmtId="0" fontId="23" fillId="2" borderId="17" xfId="0" applyFont="1" applyFill="1" applyBorder="1" applyAlignment="1">
      <alignment horizontal="center"/>
    </xf>
    <xf numFmtId="1" fontId="15" fillId="0" borderId="5" xfId="0" applyNumberFormat="1" applyFont="1" applyBorder="1" applyAlignment="1">
      <alignment horizontal="center"/>
    </xf>
    <xf numFmtId="1" fontId="23" fillId="0" borderId="9" xfId="0" applyNumberFormat="1" applyFont="1" applyBorder="1" applyAlignment="1">
      <alignment horizontal="center"/>
    </xf>
    <xf numFmtId="0" fontId="45" fillId="2" borderId="5" xfId="0" applyFont="1" applyFill="1" applyBorder="1" applyAlignment="1">
      <alignment horizontal="center"/>
    </xf>
    <xf numFmtId="1" fontId="23" fillId="0" borderId="11" xfId="0" applyNumberFormat="1" applyFont="1" applyBorder="1" applyAlignment="1">
      <alignment horizontal="center"/>
    </xf>
    <xf numFmtId="0" fontId="46" fillId="2" borderId="5" xfId="0" applyFont="1" applyFill="1" applyBorder="1" applyAlignment="1">
      <alignment horizontal="center"/>
    </xf>
    <xf numFmtId="1" fontId="44" fillId="0" borderId="5" xfId="0" applyNumberFormat="1" applyFont="1" applyBorder="1" applyAlignment="1">
      <alignment horizontal="center"/>
    </xf>
    <xf numFmtId="1" fontId="23" fillId="0" borderId="14" xfId="0" applyNumberFormat="1" applyFont="1" applyBorder="1" applyAlignment="1">
      <alignment horizontal="center"/>
    </xf>
    <xf numFmtId="0" fontId="44" fillId="0" borderId="5" xfId="0" applyFont="1" applyBorder="1" applyAlignment="1">
      <alignment horizontal="center"/>
    </xf>
    <xf numFmtId="0" fontId="23" fillId="0" borderId="8" xfId="0" applyFont="1" applyBorder="1" applyAlignment="1">
      <alignment wrapText="1"/>
    </xf>
    <xf numFmtId="1" fontId="23" fillId="2" borderId="8" xfId="0" applyNumberFormat="1" applyFont="1" applyFill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4" fontId="7" fillId="0" borderId="7" xfId="0" applyNumberFormat="1" applyFont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1" fontId="47" fillId="2" borderId="8" xfId="0" applyNumberFormat="1" applyFont="1" applyFill="1" applyBorder="1" applyAlignment="1">
      <alignment horizontal="center"/>
    </xf>
    <xf numFmtId="1" fontId="20" fillId="0" borderId="8" xfId="0" applyNumberFormat="1" applyFont="1" applyBorder="1" applyAlignment="1">
      <alignment horizontal="right"/>
    </xf>
    <xf numFmtId="0" fontId="21" fillId="0" borderId="9" xfId="0" applyFont="1" applyBorder="1"/>
    <xf numFmtId="0" fontId="4" fillId="2" borderId="17" xfId="0" applyFont="1" applyFill="1" applyBorder="1" applyAlignment="1">
      <alignment horizontal="center"/>
    </xf>
    <xf numFmtId="1" fontId="47" fillId="2" borderId="17" xfId="0" applyNumberFormat="1" applyFont="1" applyFill="1" applyBorder="1" applyAlignment="1">
      <alignment horizontal="center"/>
    </xf>
    <xf numFmtId="0" fontId="4" fillId="2" borderId="17" xfId="0" applyFont="1" applyFill="1" applyBorder="1"/>
    <xf numFmtId="0" fontId="47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1" fontId="4" fillId="2" borderId="17" xfId="0" applyNumberFormat="1" applyFont="1" applyFill="1" applyBorder="1"/>
    <xf numFmtId="0" fontId="21" fillId="0" borderId="4" xfId="0" applyFont="1" applyBorder="1"/>
    <xf numFmtId="1" fontId="4" fillId="3" borderId="17" xfId="0" applyNumberFormat="1" applyFont="1" applyFill="1" applyBorder="1" applyAlignment="1">
      <alignment horizontal="center"/>
    </xf>
    <xf numFmtId="1" fontId="48" fillId="2" borderId="5" xfId="0" applyNumberFormat="1" applyFont="1" applyFill="1" applyBorder="1" applyAlignment="1">
      <alignment horizontal="center"/>
    </xf>
    <xf numFmtId="0" fontId="49" fillId="0" borderId="9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8" xfId="0" applyFont="1" applyFill="1" applyBorder="1" applyAlignment="1">
      <alignment vertical="top"/>
    </xf>
    <xf numFmtId="1" fontId="34" fillId="2" borderId="8" xfId="0" applyNumberFormat="1" applyFont="1" applyFill="1" applyBorder="1" applyAlignment="1">
      <alignment horizontal="right"/>
    </xf>
    <xf numFmtId="0" fontId="4" fillId="2" borderId="8" xfId="0" applyFont="1" applyFill="1" applyBorder="1"/>
    <xf numFmtId="1" fontId="4" fillId="2" borderId="8" xfId="0" applyNumberFormat="1" applyFont="1" applyFill="1" applyBorder="1" applyAlignment="1">
      <alignment horizontal="center"/>
    </xf>
    <xf numFmtId="164" fontId="23" fillId="2" borderId="8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vertical="top"/>
    </xf>
    <xf numFmtId="164" fontId="23" fillId="4" borderId="8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right"/>
    </xf>
    <xf numFmtId="0" fontId="4" fillId="3" borderId="8" xfId="0" applyFont="1" applyFill="1" applyBorder="1" applyAlignment="1">
      <alignment horizontal="center"/>
    </xf>
    <xf numFmtId="1" fontId="4" fillId="2" borderId="8" xfId="0" applyNumberFormat="1" applyFont="1" applyFill="1" applyBorder="1"/>
    <xf numFmtId="1" fontId="4" fillId="3" borderId="8" xfId="0" applyNumberFormat="1" applyFont="1" applyFill="1" applyBorder="1" applyAlignment="1">
      <alignment horizontal="center"/>
    </xf>
    <xf numFmtId="164" fontId="4" fillId="2" borderId="8" xfId="0" applyNumberFormat="1" applyFont="1" applyFill="1" applyBorder="1"/>
    <xf numFmtId="0" fontId="4" fillId="2" borderId="9" xfId="0" applyFont="1" applyFill="1" applyBorder="1"/>
    <xf numFmtId="0" fontId="23" fillId="0" borderId="8" xfId="0" applyFont="1" applyBorder="1" applyAlignment="1">
      <alignment vertical="top"/>
    </xf>
    <xf numFmtId="1" fontId="23" fillId="2" borderId="8" xfId="0" applyNumberFormat="1" applyFont="1" applyFill="1" applyBorder="1" applyAlignment="1">
      <alignment horizontal="right"/>
    </xf>
    <xf numFmtId="0" fontId="23" fillId="2" borderId="8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1" fontId="23" fillId="0" borderId="7" xfId="0" applyNumberFormat="1" applyFont="1" applyBorder="1" applyAlignment="1">
      <alignment horizontal="center"/>
    </xf>
    <xf numFmtId="0" fontId="23" fillId="0" borderId="9" xfId="0" applyFont="1" applyBorder="1" applyAlignment="1">
      <alignment vertical="top"/>
    </xf>
    <xf numFmtId="0" fontId="23" fillId="0" borderId="17" xfId="0" applyFont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1" fontId="23" fillId="2" borderId="17" xfId="0" applyNumberFormat="1" applyFont="1" applyFill="1" applyBorder="1" applyAlignment="1">
      <alignment horizontal="center"/>
    </xf>
    <xf numFmtId="1" fontId="23" fillId="3" borderId="9" xfId="0" applyNumberFormat="1" applyFont="1" applyFill="1" applyBorder="1" applyAlignment="1">
      <alignment horizontal="center"/>
    </xf>
    <xf numFmtId="0" fontId="23" fillId="3" borderId="17" xfId="0" applyFont="1" applyFill="1" applyBorder="1" applyAlignment="1">
      <alignment horizontal="center"/>
    </xf>
    <xf numFmtId="1" fontId="23" fillId="3" borderId="7" xfId="0" applyNumberFormat="1" applyFont="1" applyFill="1" applyBorder="1" applyAlignment="1">
      <alignment horizontal="center"/>
    </xf>
    <xf numFmtId="1" fontId="23" fillId="6" borderId="8" xfId="0" applyNumberFormat="1" applyFont="1" applyFill="1" applyBorder="1" applyAlignment="1">
      <alignment horizontal="center"/>
    </xf>
    <xf numFmtId="1" fontId="23" fillId="3" borderId="17" xfId="0" applyNumberFormat="1" applyFont="1" applyFill="1" applyBorder="1" applyAlignment="1">
      <alignment horizontal="center"/>
    </xf>
    <xf numFmtId="0" fontId="55" fillId="2" borderId="17" xfId="0" applyFont="1" applyFill="1" applyBorder="1" applyAlignment="1">
      <alignment horizontal="center"/>
    </xf>
    <xf numFmtId="0" fontId="23" fillId="3" borderId="9" xfId="0" applyFont="1" applyFill="1" applyBorder="1" applyAlignment="1">
      <alignment horizontal="center"/>
    </xf>
    <xf numFmtId="0" fontId="23" fillId="5" borderId="9" xfId="0" applyFont="1" applyFill="1" applyBorder="1" applyAlignment="1">
      <alignment horizontal="center"/>
    </xf>
    <xf numFmtId="0" fontId="23" fillId="5" borderId="17" xfId="0" applyFont="1" applyFill="1" applyBorder="1" applyAlignment="1">
      <alignment horizontal="center"/>
    </xf>
    <xf numFmtId="0" fontId="4" fillId="5" borderId="9" xfId="0" applyFont="1" applyFill="1" applyBorder="1"/>
    <xf numFmtId="0" fontId="4" fillId="5" borderId="17" xfId="0" applyFont="1" applyFill="1" applyBorder="1"/>
    <xf numFmtId="1" fontId="4" fillId="2" borderId="20" xfId="0" applyNumberFormat="1" applyFont="1" applyFill="1" applyBorder="1"/>
    <xf numFmtId="164" fontId="4" fillId="0" borderId="8" xfId="0" applyNumberFormat="1" applyFont="1" applyBorder="1" applyAlignment="1">
      <alignment horizontal="center"/>
    </xf>
    <xf numFmtId="0" fontId="54" fillId="0" borderId="9" xfId="0" applyFont="1" applyBorder="1" applyAlignment="1">
      <alignment horizontal="center" wrapText="1"/>
    </xf>
    <xf numFmtId="0" fontId="54" fillId="0" borderId="8" xfId="0" applyFont="1" applyBorder="1" applyAlignment="1">
      <alignment horizontal="center" wrapText="1"/>
    </xf>
    <xf numFmtId="0" fontId="54" fillId="0" borderId="8" xfId="0" applyFont="1" applyBorder="1" applyAlignment="1">
      <alignment horizontal="center"/>
    </xf>
    <xf numFmtId="0" fontId="5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4" fillId="0" borderId="3" xfId="0" applyFont="1" applyBorder="1"/>
    <xf numFmtId="0" fontId="3" fillId="2" borderId="8" xfId="0" applyFont="1" applyFill="1" applyBorder="1" applyAlignment="1">
      <alignment horizontal="center" wrapText="1"/>
    </xf>
    <xf numFmtId="0" fontId="56" fillId="0" borderId="8" xfId="0" applyFont="1" applyBorder="1" applyAlignment="1">
      <alignment horizontal="center" wrapText="1"/>
    </xf>
    <xf numFmtId="0" fontId="3" fillId="2" borderId="23" xfId="0" applyFont="1" applyFill="1" applyBorder="1" applyAlignment="1">
      <alignment horizontal="center"/>
    </xf>
    <xf numFmtId="0" fontId="34" fillId="0" borderId="6" xfId="0" applyFont="1" applyBorder="1"/>
    <xf numFmtId="1" fontId="21" fillId="2" borderId="8" xfId="0" applyNumberFormat="1" applyFont="1" applyFill="1" applyBorder="1" applyAlignment="1">
      <alignment horizontal="right"/>
    </xf>
    <xf numFmtId="0" fontId="34" fillId="0" borderId="4" xfId="0" applyFont="1" applyBorder="1"/>
    <xf numFmtId="0" fontId="4" fillId="6" borderId="8" xfId="0" applyFont="1" applyFill="1" applyBorder="1" applyAlignment="1">
      <alignment horizontal="center"/>
    </xf>
    <xf numFmtId="1" fontId="4" fillId="6" borderId="8" xfId="0" applyNumberFormat="1" applyFont="1" applyFill="1" applyBorder="1" applyAlignment="1">
      <alignment horizontal="right"/>
    </xf>
    <xf numFmtId="0" fontId="55" fillId="2" borderId="8" xfId="0" applyFont="1" applyFill="1" applyBorder="1" applyAlignment="1">
      <alignment horizontal="center"/>
    </xf>
    <xf numFmtId="0" fontId="9" fillId="0" borderId="9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27" fillId="0" borderId="0" xfId="0" applyFont="1"/>
    <xf numFmtId="0" fontId="3" fillId="0" borderId="7" xfId="0" applyFon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58" fillId="0" borderId="8" xfId="0" applyFont="1" applyBorder="1" applyAlignment="1">
      <alignment horizontal="center"/>
    </xf>
    <xf numFmtId="0" fontId="59" fillId="8" borderId="8" xfId="0" applyFont="1" applyFill="1" applyBorder="1" applyAlignment="1">
      <alignment horizontal="center"/>
    </xf>
    <xf numFmtId="0" fontId="60" fillId="8" borderId="8" xfId="0" applyFont="1" applyFill="1" applyBorder="1" applyAlignment="1">
      <alignment horizontal="center"/>
    </xf>
    <xf numFmtId="0" fontId="58" fillId="7" borderId="8" xfId="0" applyFont="1" applyFill="1" applyBorder="1" applyAlignment="1">
      <alignment horizontal="center"/>
    </xf>
    <xf numFmtId="0" fontId="59" fillId="7" borderId="8" xfId="0" applyFont="1" applyFill="1" applyBorder="1" applyAlignment="1">
      <alignment horizontal="center"/>
    </xf>
    <xf numFmtId="0" fontId="57" fillId="0" borderId="8" xfId="0" applyFont="1" applyBorder="1" applyAlignment="1">
      <alignment horizontal="center"/>
    </xf>
    <xf numFmtId="0" fontId="61" fillId="8" borderId="8" xfId="0" applyFont="1" applyFill="1" applyBorder="1" applyAlignment="1">
      <alignment horizontal="center"/>
    </xf>
    <xf numFmtId="0" fontId="57" fillId="0" borderId="2" xfId="0" applyFont="1" applyBorder="1" applyAlignment="1">
      <alignment horizontal="center"/>
    </xf>
    <xf numFmtId="0" fontId="57" fillId="7" borderId="8" xfId="0" applyFont="1" applyFill="1" applyBorder="1" applyAlignment="1">
      <alignment horizontal="center"/>
    </xf>
    <xf numFmtId="0" fontId="61" fillId="7" borderId="8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1" fillId="0" borderId="8" xfId="0" applyFont="1" applyBorder="1" applyAlignment="1">
      <alignment vertical="top"/>
    </xf>
    <xf numFmtId="0" fontId="62" fillId="0" borderId="8" xfId="0" applyFont="1" applyBorder="1" applyAlignment="1">
      <alignment horizontal="right"/>
    </xf>
    <xf numFmtId="1" fontId="63" fillId="8" borderId="8" xfId="0" applyNumberFormat="1" applyFont="1" applyFill="1" applyBorder="1" applyAlignment="1">
      <alignment horizontal="center"/>
    </xf>
    <xf numFmtId="0" fontId="11" fillId="0" borderId="8" xfId="0" applyFont="1" applyBorder="1" applyAlignment="1">
      <alignment horizontal="right"/>
    </xf>
    <xf numFmtId="0" fontId="64" fillId="0" borderId="5" xfId="0" applyFont="1" applyBorder="1" applyAlignment="1">
      <alignment horizontal="right"/>
    </xf>
    <xf numFmtId="0" fontId="11" fillId="0" borderId="8" xfId="0" applyFont="1" applyBorder="1" applyAlignment="1">
      <alignment horizontal="center"/>
    </xf>
    <xf numFmtId="1" fontId="16" fillId="7" borderId="8" xfId="0" applyNumberFormat="1" applyFont="1" applyFill="1" applyBorder="1" applyAlignment="1">
      <alignment horizontal="center"/>
    </xf>
    <xf numFmtId="2" fontId="65" fillId="7" borderId="8" xfId="0" applyNumberFormat="1" applyFont="1" applyFill="1" applyBorder="1" applyAlignment="1">
      <alignment horizontal="center"/>
    </xf>
    <xf numFmtId="0" fontId="62" fillId="0" borderId="8" xfId="0" applyFont="1" applyBorder="1" applyAlignment="1">
      <alignment vertical="top"/>
    </xf>
    <xf numFmtId="164" fontId="4" fillId="8" borderId="8" xfId="0" applyNumberFormat="1" applyFont="1" applyFill="1" applyBorder="1"/>
    <xf numFmtId="1" fontId="4" fillId="8" borderId="8" xfId="0" applyNumberFormat="1" applyFont="1" applyFill="1" applyBorder="1"/>
    <xf numFmtId="0" fontId="4" fillId="7" borderId="8" xfId="0" applyFont="1" applyFill="1" applyBorder="1"/>
    <xf numFmtId="0" fontId="4" fillId="0" borderId="8" xfId="0" applyFont="1" applyBorder="1" applyAlignment="1">
      <alignment vertical="top"/>
    </xf>
    <xf numFmtId="0" fontId="67" fillId="0" borderId="8" xfId="0" applyFont="1" applyBorder="1"/>
    <xf numFmtId="0" fontId="67" fillId="0" borderId="12" xfId="0" applyFont="1" applyBorder="1" applyAlignment="1">
      <alignment horizontal="center"/>
    </xf>
    <xf numFmtId="0" fontId="4" fillId="0" borderId="13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5" xfId="0" applyFont="1" applyBorder="1"/>
    <xf numFmtId="0" fontId="69" fillId="0" borderId="7" xfId="0" applyFont="1" applyBorder="1" applyAlignment="1">
      <alignment horizontal="center"/>
    </xf>
    <xf numFmtId="0" fontId="4" fillId="6" borderId="26" xfId="0" applyFont="1" applyFill="1" applyBorder="1"/>
    <xf numFmtId="0" fontId="4" fillId="6" borderId="27" xfId="0" applyFont="1" applyFill="1" applyBorder="1"/>
    <xf numFmtId="0" fontId="70" fillId="0" borderId="8" xfId="0" applyFont="1" applyBorder="1" applyAlignment="1">
      <alignment horizontal="center" wrapText="1"/>
    </xf>
    <xf numFmtId="0" fontId="71" fillId="8" borderId="8" xfId="0" applyFont="1" applyFill="1" applyBorder="1" applyAlignment="1">
      <alignment horizontal="center"/>
    </xf>
    <xf numFmtId="0" fontId="72" fillId="8" borderId="8" xfId="0" applyFont="1" applyFill="1" applyBorder="1" applyAlignment="1">
      <alignment horizontal="center"/>
    </xf>
    <xf numFmtId="0" fontId="70" fillId="7" borderId="8" xfId="0" applyFont="1" applyFill="1" applyBorder="1" applyAlignment="1">
      <alignment horizontal="center"/>
    </xf>
    <xf numFmtId="0" fontId="71" fillId="7" borderId="8" xfId="0" applyFont="1" applyFill="1" applyBorder="1" applyAlignment="1">
      <alignment horizontal="center"/>
    </xf>
    <xf numFmtId="0" fontId="73" fillId="0" borderId="8" xfId="0" applyFont="1" applyBorder="1" applyAlignment="1">
      <alignment horizontal="center"/>
    </xf>
    <xf numFmtId="0" fontId="74" fillId="8" borderId="8" xfId="0" applyFont="1" applyFill="1" applyBorder="1" applyAlignment="1">
      <alignment horizontal="center"/>
    </xf>
    <xf numFmtId="0" fontId="73" fillId="0" borderId="2" xfId="0" applyFont="1" applyBorder="1" applyAlignment="1">
      <alignment horizontal="center"/>
    </xf>
    <xf numFmtId="0" fontId="73" fillId="7" borderId="8" xfId="0" applyFont="1" applyFill="1" applyBorder="1" applyAlignment="1">
      <alignment horizontal="center"/>
    </xf>
    <xf numFmtId="0" fontId="74" fillId="7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75" fillId="8" borderId="8" xfId="0" applyNumberFormat="1" applyFont="1" applyFill="1" applyBorder="1" applyAlignment="1">
      <alignment horizontal="center"/>
    </xf>
    <xf numFmtId="0" fontId="76" fillId="0" borderId="5" xfId="0" applyFont="1" applyBorder="1" applyAlignment="1">
      <alignment horizontal="center"/>
    </xf>
    <xf numFmtId="1" fontId="2" fillId="7" borderId="8" xfId="0" applyNumberFormat="1" applyFont="1" applyFill="1" applyBorder="1" applyAlignment="1">
      <alignment horizontal="center"/>
    </xf>
    <xf numFmtId="2" fontId="75" fillId="7" borderId="8" xfId="0" applyNumberFormat="1" applyFont="1" applyFill="1" applyBorder="1" applyAlignment="1">
      <alignment horizontal="center"/>
    </xf>
    <xf numFmtId="0" fontId="73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1" fillId="0" borderId="1" xfId="0" applyFont="1" applyBorder="1" applyAlignment="1">
      <alignment vertical="top" wrapText="1"/>
    </xf>
    <xf numFmtId="0" fontId="4" fillId="0" borderId="9" xfId="0" applyFont="1" applyBorder="1" applyAlignment="1">
      <alignment vertical="top"/>
    </xf>
    <xf numFmtId="164" fontId="4" fillId="8" borderId="6" xfId="0" applyNumberFormat="1" applyFont="1" applyFill="1" applyBorder="1"/>
    <xf numFmtId="2" fontId="4" fillId="7" borderId="8" xfId="0" applyNumberFormat="1" applyFont="1" applyFill="1" applyBorder="1"/>
    <xf numFmtId="164" fontId="4" fillId="8" borderId="7" xfId="0" applyNumberFormat="1" applyFont="1" applyFill="1" applyBorder="1"/>
    <xf numFmtId="0" fontId="77" fillId="0" borderId="8" xfId="0" applyFont="1" applyBorder="1"/>
    <xf numFmtId="0" fontId="80" fillId="0" borderId="7" xfId="0" applyFont="1" applyBorder="1" applyAlignment="1">
      <alignment horizontal="center"/>
    </xf>
    <xf numFmtId="0" fontId="82" fillId="0" borderId="8" xfId="0" applyFont="1" applyBorder="1" applyAlignment="1">
      <alignment horizontal="center"/>
    </xf>
    <xf numFmtId="0" fontId="83" fillId="8" borderId="8" xfId="0" applyFont="1" applyFill="1" applyBorder="1" applyAlignment="1">
      <alignment horizontal="center"/>
    </xf>
    <xf numFmtId="0" fontId="84" fillId="8" borderId="8" xfId="0" applyFont="1" applyFill="1" applyBorder="1" applyAlignment="1">
      <alignment horizontal="center"/>
    </xf>
    <xf numFmtId="0" fontId="82" fillId="7" borderId="8" xfId="0" applyFont="1" applyFill="1" applyBorder="1" applyAlignment="1">
      <alignment horizontal="center"/>
    </xf>
    <xf numFmtId="0" fontId="83" fillId="7" borderId="8" xfId="0" applyFont="1" applyFill="1" applyBorder="1" applyAlignment="1">
      <alignment horizontal="center"/>
    </xf>
    <xf numFmtId="0" fontId="81" fillId="0" borderId="8" xfId="0" applyFont="1" applyBorder="1" applyAlignment="1">
      <alignment horizontal="center"/>
    </xf>
    <xf numFmtId="0" fontId="85" fillId="8" borderId="8" xfId="0" applyFont="1" applyFill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1" fillId="7" borderId="8" xfId="0" applyFont="1" applyFill="1" applyBorder="1" applyAlignment="1">
      <alignment horizontal="center"/>
    </xf>
    <xf numFmtId="0" fontId="85" fillId="7" borderId="8" xfId="0" applyFont="1" applyFill="1" applyBorder="1" applyAlignment="1">
      <alignment horizontal="center"/>
    </xf>
    <xf numFmtId="0" fontId="80" fillId="0" borderId="8" xfId="0" applyFont="1" applyBorder="1" applyAlignment="1">
      <alignment horizontal="center"/>
    </xf>
    <xf numFmtId="0" fontId="86" fillId="0" borderId="8" xfId="0" applyFont="1" applyBorder="1" applyAlignment="1">
      <alignment vertical="top"/>
    </xf>
    <xf numFmtId="0" fontId="86" fillId="0" borderId="8" xfId="0" applyFont="1" applyBorder="1" applyAlignment="1">
      <alignment horizontal="right"/>
    </xf>
    <xf numFmtId="0" fontId="87" fillId="0" borderId="5" xfId="0" applyFont="1" applyBorder="1" applyAlignment="1">
      <alignment horizontal="center"/>
    </xf>
    <xf numFmtId="0" fontId="86" fillId="0" borderId="9" xfId="0" applyFont="1" applyBorder="1" applyAlignment="1">
      <alignment vertical="top"/>
    </xf>
    <xf numFmtId="0" fontId="86" fillId="0" borderId="9" xfId="0" applyFont="1" applyBorder="1" applyAlignment="1">
      <alignment horizontal="right"/>
    </xf>
    <xf numFmtId="0" fontId="80" fillId="0" borderId="9" xfId="0" applyFont="1" applyBorder="1" applyAlignment="1">
      <alignment horizontal="center"/>
    </xf>
    <xf numFmtId="0" fontId="47" fillId="0" borderId="8" xfId="0" applyFont="1" applyBorder="1"/>
    <xf numFmtId="0" fontId="88" fillId="0" borderId="9" xfId="0" applyFont="1" applyBorder="1" applyAlignment="1">
      <alignment horizontal="right"/>
    </xf>
    <xf numFmtId="0" fontId="86" fillId="0" borderId="8" xfId="0" applyFont="1" applyBorder="1"/>
    <xf numFmtId="0" fontId="80" fillId="0" borderId="8" xfId="0" applyFont="1" applyBorder="1"/>
    <xf numFmtId="0" fontId="3" fillId="0" borderId="4" xfId="0" applyFont="1" applyBorder="1" applyAlignment="1">
      <alignment horizontal="center"/>
    </xf>
    <xf numFmtId="0" fontId="6" fillId="0" borderId="5" xfId="0" applyFont="1" applyBorder="1"/>
    <xf numFmtId="0" fontId="3" fillId="0" borderId="6" xfId="0" applyFont="1" applyBorder="1" applyAlignment="1">
      <alignment horizontal="center"/>
    </xf>
    <xf numFmtId="0" fontId="6" fillId="0" borderId="7" xfId="0" applyFont="1" applyBorder="1"/>
    <xf numFmtId="2" fontId="3" fillId="0" borderId="6" xfId="0" applyNumberFormat="1" applyFont="1" applyBorder="1" applyAlignment="1">
      <alignment horizontal="center"/>
    </xf>
    <xf numFmtId="0" fontId="6" fillId="0" borderId="11" xfId="0" applyFont="1" applyBorder="1"/>
    <xf numFmtId="0" fontId="17" fillId="0" borderId="0" xfId="0" applyFont="1" applyAlignment="1">
      <alignment horizontal="center"/>
    </xf>
    <xf numFmtId="0" fontId="0" fillId="0" borderId="0" xfId="0"/>
    <xf numFmtId="0" fontId="7" fillId="0" borderId="6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6" fillId="0" borderId="14" xfId="0" applyFont="1" applyBorder="1"/>
    <xf numFmtId="0" fontId="3" fillId="0" borderId="12" xfId="0" applyFont="1" applyBorder="1" applyAlignment="1">
      <alignment horizontal="center"/>
    </xf>
    <xf numFmtId="0" fontId="6" fillId="0" borderId="13" xfId="0" applyFont="1" applyBorder="1"/>
    <xf numFmtId="0" fontId="4" fillId="0" borderId="6" xfId="0" applyFont="1" applyBorder="1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right"/>
    </xf>
    <xf numFmtId="0" fontId="6" fillId="0" borderId="1" xfId="0" applyFont="1" applyBorder="1"/>
    <xf numFmtId="0" fontId="7" fillId="0" borderId="4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6" fillId="0" borderId="3" xfId="0" applyFont="1" applyBorder="1"/>
    <xf numFmtId="0" fontId="6" fillId="0" borderId="9" xfId="0" applyFont="1" applyBorder="1"/>
    <xf numFmtId="0" fontId="2" fillId="0" borderId="0" xfId="0" applyFont="1"/>
    <xf numFmtId="0" fontId="7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2" fontId="4" fillId="0" borderId="6" xfId="0" applyNumberFormat="1" applyFont="1" applyBorder="1"/>
    <xf numFmtId="0" fontId="3" fillId="0" borderId="3" xfId="0" applyFont="1" applyBorder="1" applyAlignment="1">
      <alignment horizontal="center" textRotation="90"/>
    </xf>
    <xf numFmtId="0" fontId="3" fillId="0" borderId="6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4" fillId="0" borderId="14" xfId="0" applyFont="1" applyBorder="1"/>
    <xf numFmtId="1" fontId="3" fillId="0" borderId="6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3" fillId="0" borderId="2" xfId="0" applyFont="1" applyBorder="1" applyAlignment="1">
      <alignment horizontal="center" textRotation="90"/>
    </xf>
    <xf numFmtId="0" fontId="3" fillId="0" borderId="14" xfId="0" applyFont="1" applyBorder="1"/>
    <xf numFmtId="0" fontId="4" fillId="0" borderId="4" xfId="0" applyFont="1" applyBorder="1"/>
    <xf numFmtId="0" fontId="36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2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5" fillId="0" borderId="1" xfId="0" applyFont="1" applyBorder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2" fontId="7" fillId="0" borderId="6" xfId="0" applyNumberFormat="1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2" xfId="0" applyFont="1" applyBorder="1" applyAlignment="1">
      <alignment horizontal="center" wrapText="1"/>
    </xf>
    <xf numFmtId="0" fontId="7" fillId="0" borderId="3" xfId="0" applyFont="1" applyBorder="1" applyAlignment="1">
      <alignment horizontal="center" textRotation="90"/>
    </xf>
    <xf numFmtId="0" fontId="7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6" xfId="0" applyFont="1" applyBorder="1" applyAlignment="1">
      <alignment horizontal="center" wrapText="1"/>
    </xf>
    <xf numFmtId="0" fontId="5" fillId="0" borderId="19" xfId="0" applyFont="1" applyBorder="1" applyAlignment="1">
      <alignment horizontal="center"/>
    </xf>
    <xf numFmtId="0" fontId="6" fillId="0" borderId="19" xfId="0" applyFont="1" applyBorder="1"/>
    <xf numFmtId="0" fontId="6" fillId="0" borderId="4" xfId="0" applyFont="1" applyBorder="1"/>
    <xf numFmtId="0" fontId="23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 textRotation="90"/>
    </xf>
    <xf numFmtId="0" fontId="3" fillId="0" borderId="4" xfId="0" applyFont="1" applyBorder="1" applyAlignment="1">
      <alignment horizontal="center" wrapText="1"/>
    </xf>
    <xf numFmtId="0" fontId="3" fillId="2" borderId="21" xfId="0" applyFont="1" applyFill="1" applyBorder="1" applyAlignment="1">
      <alignment horizontal="center" wrapText="1"/>
    </xf>
    <xf numFmtId="0" fontId="6" fillId="0" borderId="22" xfId="0" applyFont="1" applyBorder="1"/>
    <xf numFmtId="0" fontId="3" fillId="2" borderId="6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6" fillId="0" borderId="25" xfId="0" applyFont="1" applyBorder="1"/>
    <xf numFmtId="0" fontId="4" fillId="2" borderId="6" xfId="0" applyFont="1" applyFill="1" applyBorder="1"/>
    <xf numFmtId="0" fontId="3" fillId="2" borderId="21" xfId="0" applyFont="1" applyFill="1" applyBorder="1" applyAlignment="1">
      <alignment horizontal="center"/>
    </xf>
    <xf numFmtId="2" fontId="3" fillId="2" borderId="6" xfId="0" applyNumberFormat="1" applyFont="1" applyFill="1" applyBorder="1" applyAlignment="1">
      <alignment horizontal="center"/>
    </xf>
    <xf numFmtId="0" fontId="67" fillId="0" borderId="11" xfId="0" applyFont="1" applyBorder="1" applyAlignment="1">
      <alignment horizontal="center"/>
    </xf>
    <xf numFmtId="0" fontId="4" fillId="0" borderId="11" xfId="0" applyFont="1" applyBorder="1"/>
    <xf numFmtId="164" fontId="67" fillId="0" borderId="11" xfId="0" applyNumberFormat="1" applyFont="1" applyBorder="1" applyAlignment="1">
      <alignment horizontal="center"/>
    </xf>
    <xf numFmtId="164" fontId="4" fillId="0" borderId="11" xfId="0" applyNumberFormat="1" applyFont="1" applyBorder="1"/>
    <xf numFmtId="0" fontId="67" fillId="0" borderId="6" xfId="0" applyFont="1" applyBorder="1" applyAlignment="1">
      <alignment horizontal="center"/>
    </xf>
    <xf numFmtId="0" fontId="57" fillId="0" borderId="6" xfId="0" applyFont="1" applyBorder="1" applyAlignment="1">
      <alignment horizontal="center"/>
    </xf>
    <xf numFmtId="0" fontId="4" fillId="7" borderId="6" xfId="0" applyFont="1" applyFill="1" applyBorder="1"/>
    <xf numFmtId="0" fontId="1" fillId="0" borderId="6" xfId="0" applyFont="1" applyBorder="1"/>
    <xf numFmtId="0" fontId="2" fillId="0" borderId="6" xfId="0" applyFont="1" applyBorder="1" applyAlignment="1">
      <alignment horizontal="right"/>
    </xf>
    <xf numFmtId="0" fontId="57" fillId="0" borderId="2" xfId="0" applyFont="1" applyBorder="1" applyAlignment="1">
      <alignment horizontal="center" wrapText="1"/>
    </xf>
    <xf numFmtId="0" fontId="57" fillId="7" borderId="6" xfId="0" applyFont="1" applyFill="1" applyBorder="1" applyAlignment="1">
      <alignment horizontal="center"/>
    </xf>
    <xf numFmtId="1" fontId="4" fillId="8" borderId="6" xfId="0" applyNumberFormat="1" applyFont="1" applyFill="1" applyBorder="1"/>
    <xf numFmtId="1" fontId="4" fillId="8" borderId="6" xfId="0" applyNumberFormat="1" applyFont="1" applyFill="1" applyBorder="1" applyAlignment="1">
      <alignment horizontal="center"/>
    </xf>
    <xf numFmtId="0" fontId="57" fillId="0" borderId="2" xfId="0" applyFont="1" applyBorder="1"/>
    <xf numFmtId="0" fontId="66" fillId="0" borderId="6" xfId="0" applyFont="1" applyBorder="1" applyAlignment="1">
      <alignment horizontal="center" wrapText="1"/>
    </xf>
    <xf numFmtId="0" fontId="67" fillId="0" borderId="2" xfId="0" applyFont="1" applyBorder="1" applyAlignment="1">
      <alignment horizontal="center" textRotation="90" wrapText="1"/>
    </xf>
    <xf numFmtId="0" fontId="67" fillId="0" borderId="12" xfId="0" applyFont="1" applyBorder="1" applyAlignment="1">
      <alignment horizontal="center"/>
    </xf>
    <xf numFmtId="0" fontId="78" fillId="0" borderId="11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68" fillId="0" borderId="6" xfId="0" applyFont="1" applyBorder="1" applyAlignment="1">
      <alignment horizontal="center"/>
    </xf>
    <xf numFmtId="0" fontId="23" fillId="0" borderId="2" xfId="0" applyFont="1" applyBorder="1" applyAlignment="1">
      <alignment horizontal="center" wrapText="1"/>
    </xf>
    <xf numFmtId="0" fontId="23" fillId="0" borderId="2" xfId="0" applyFont="1" applyBorder="1"/>
    <xf numFmtId="0" fontId="23" fillId="7" borderId="6" xfId="0" applyFont="1" applyFill="1" applyBorder="1" applyAlignment="1">
      <alignment horizontal="center"/>
    </xf>
    <xf numFmtId="0" fontId="78" fillId="0" borderId="6" xfId="0" applyFont="1" applyBorder="1" applyAlignment="1">
      <alignment horizontal="center"/>
    </xf>
    <xf numFmtId="0" fontId="81" fillId="0" borderId="6" xfId="0" applyFont="1" applyBorder="1" applyAlignment="1">
      <alignment horizontal="center"/>
    </xf>
    <xf numFmtId="0" fontId="81" fillId="7" borderId="6" xfId="0" applyFont="1" applyFill="1" applyBorder="1" applyAlignment="1">
      <alignment horizontal="center"/>
    </xf>
    <xf numFmtId="0" fontId="79" fillId="0" borderId="6" xfId="0" applyFont="1" applyBorder="1"/>
    <xf numFmtId="0" fontId="80" fillId="0" borderId="6" xfId="0" applyFont="1" applyBorder="1" applyAlignment="1">
      <alignment horizontal="right"/>
    </xf>
    <xf numFmtId="0" fontId="80" fillId="0" borderId="0" xfId="0" applyFont="1" applyAlignment="1">
      <alignment horizontal="center"/>
    </xf>
    <xf numFmtId="0" fontId="81" fillId="0" borderId="2" xfId="0" applyFont="1" applyBorder="1" applyAlignment="1">
      <alignment horizontal="center" wrapText="1"/>
    </xf>
    <xf numFmtId="0" fontId="81" fillId="0" borderId="2" xfId="0" applyFont="1" applyBorder="1"/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Q70"/>
  <sheetViews>
    <sheetView workbookViewId="0"/>
  </sheetViews>
  <sheetFormatPr defaultColWidth="12.6640625" defaultRowHeight="15.75" customHeight="1"/>
  <cols>
    <col min="2" max="2" width="24.6640625" customWidth="1"/>
  </cols>
  <sheetData>
    <row r="2" spans="1:17" ht="15.75" customHeight="1">
      <c r="A2" s="373" t="s">
        <v>0</v>
      </c>
      <c r="B2" s="366"/>
      <c r="C2" s="366"/>
      <c r="D2" s="366"/>
      <c r="E2" s="374" t="s">
        <v>1</v>
      </c>
      <c r="F2" s="366"/>
      <c r="G2" s="366"/>
      <c r="H2" s="366"/>
      <c r="I2" s="366"/>
      <c r="J2" s="366"/>
      <c r="K2" s="375" t="s">
        <v>2</v>
      </c>
      <c r="L2" s="366"/>
      <c r="M2" s="366"/>
      <c r="N2" s="366"/>
      <c r="O2" s="366"/>
      <c r="P2" s="366"/>
      <c r="Q2" s="366"/>
    </row>
    <row r="3" spans="1:17" ht="15.75" customHeight="1">
      <c r="A3" s="383" t="s">
        <v>3</v>
      </c>
      <c r="B3" s="366"/>
      <c r="C3" s="376"/>
      <c r="D3" s="366"/>
      <c r="E3" s="374" t="s">
        <v>4</v>
      </c>
      <c r="F3" s="366"/>
      <c r="G3" s="366"/>
      <c r="H3" s="366"/>
      <c r="I3" s="366"/>
      <c r="J3" s="366"/>
      <c r="K3" s="374" t="s">
        <v>5</v>
      </c>
      <c r="L3" s="366"/>
      <c r="M3" s="366"/>
      <c r="N3" s="366"/>
      <c r="O3" s="366"/>
      <c r="P3" s="366"/>
      <c r="Q3" s="366"/>
    </row>
    <row r="4" spans="1:17" ht="15.75" customHeight="1">
      <c r="A4" s="377" t="s">
        <v>6</v>
      </c>
      <c r="B4" s="378"/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8"/>
      <c r="O4" s="378"/>
      <c r="P4" s="378"/>
      <c r="Q4" s="378"/>
    </row>
    <row r="5" spans="1:17">
      <c r="A5" s="384" t="s">
        <v>7</v>
      </c>
      <c r="B5" s="385" t="s">
        <v>8</v>
      </c>
      <c r="C5" s="379" t="s">
        <v>9</v>
      </c>
      <c r="D5" s="360"/>
      <c r="E5" s="379" t="s">
        <v>10</v>
      </c>
      <c r="F5" s="360"/>
      <c r="G5" s="379" t="s">
        <v>11</v>
      </c>
      <c r="H5" s="360"/>
      <c r="I5" s="379" t="s">
        <v>12</v>
      </c>
      <c r="J5" s="360"/>
      <c r="K5" s="379" t="s">
        <v>13</v>
      </c>
      <c r="L5" s="360"/>
      <c r="M5" s="379" t="s">
        <v>14</v>
      </c>
      <c r="N5" s="360"/>
      <c r="O5" s="367" t="s">
        <v>15</v>
      </c>
      <c r="P5" s="362"/>
      <c r="Q5" s="380" t="s">
        <v>16</v>
      </c>
    </row>
    <row r="6" spans="1:17">
      <c r="A6" s="381"/>
      <c r="B6" s="381"/>
      <c r="C6" s="4" t="s">
        <v>17</v>
      </c>
      <c r="D6" s="5">
        <v>40</v>
      </c>
      <c r="E6" s="4" t="s">
        <v>17</v>
      </c>
      <c r="F6" s="5">
        <v>40</v>
      </c>
      <c r="G6" s="4" t="s">
        <v>17</v>
      </c>
      <c r="H6" s="5">
        <v>40</v>
      </c>
      <c r="I6" s="4" t="s">
        <v>17</v>
      </c>
      <c r="J6" s="5">
        <v>40</v>
      </c>
      <c r="K6" s="4" t="s">
        <v>17</v>
      </c>
      <c r="L6" s="5">
        <v>40</v>
      </c>
      <c r="M6" s="4" t="s">
        <v>17</v>
      </c>
      <c r="N6" s="5">
        <v>40</v>
      </c>
      <c r="O6" s="4" t="s">
        <v>17</v>
      </c>
      <c r="P6" s="5">
        <v>600</v>
      </c>
      <c r="Q6" s="381"/>
    </row>
    <row r="7" spans="1:17">
      <c r="A7" s="382"/>
      <c r="B7" s="382"/>
      <c r="C7" s="6" t="s">
        <v>18</v>
      </c>
      <c r="D7" s="6" t="s">
        <v>19</v>
      </c>
      <c r="E7" s="6" t="s">
        <v>18</v>
      </c>
      <c r="F7" s="6" t="s">
        <v>19</v>
      </c>
      <c r="G7" s="6" t="s">
        <v>18</v>
      </c>
      <c r="H7" s="6" t="s">
        <v>19</v>
      </c>
      <c r="I7" s="6" t="s">
        <v>18</v>
      </c>
      <c r="J7" s="6" t="s">
        <v>19</v>
      </c>
      <c r="K7" s="6" t="s">
        <v>18</v>
      </c>
      <c r="L7" s="6" t="s">
        <v>19</v>
      </c>
      <c r="M7" s="6" t="s">
        <v>18</v>
      </c>
      <c r="N7" s="6" t="s">
        <v>19</v>
      </c>
      <c r="O7" s="6" t="s">
        <v>18</v>
      </c>
      <c r="P7" s="6" t="s">
        <v>19</v>
      </c>
      <c r="Q7" s="382"/>
    </row>
    <row r="8" spans="1:17" ht="15.75" customHeight="1">
      <c r="A8" s="7">
        <v>1</v>
      </c>
      <c r="B8" s="8" t="s">
        <v>20</v>
      </c>
      <c r="C8" s="9">
        <v>34</v>
      </c>
      <c r="D8" s="10">
        <f t="shared" ref="D8:D42" si="0">IF(C8="","",IF(C8="AB",AB,IF(C8="TC","TC",(C8/D$6)*100)))</f>
        <v>85</v>
      </c>
      <c r="E8" s="11">
        <v>35</v>
      </c>
      <c r="F8" s="12">
        <f t="shared" ref="F8:F42" si="1">IF(E8="","",IF(E8="AB",AB,IF(E8="TC","TC",(E8/F$6)*100)))</f>
        <v>87.5</v>
      </c>
      <c r="G8" s="13">
        <v>38</v>
      </c>
      <c r="H8" s="14">
        <f t="shared" ref="H8:H53" si="2">IF(G8="","",IF(G8="AB",AB,IF(G8="TC","TC",(G8/H$6)*100)))</f>
        <v>95</v>
      </c>
      <c r="I8" s="11">
        <v>32</v>
      </c>
      <c r="J8" s="15">
        <f t="shared" ref="J8:J56" si="3">IF(I8="","",IF(I8="AB",AB,IF(I8="TC","TC",(I8/J$6)*100)))</f>
        <v>80</v>
      </c>
      <c r="K8" s="16">
        <v>36</v>
      </c>
      <c r="L8" s="12">
        <f t="shared" ref="L8:L53" si="4">IF(K8="","",IF(K8="AB",AB,IF(K8="TC","TC",(K8/L$6)*100)))</f>
        <v>90</v>
      </c>
      <c r="M8" s="12">
        <v>35</v>
      </c>
      <c r="N8" s="12">
        <f t="shared" ref="N8:N42" si="5">IF(M8="","",IF(M8="AB",AB,IF(M8="TC","TC",(M8/N$6)*100)))</f>
        <v>87.5</v>
      </c>
      <c r="O8" s="12">
        <f t="shared" ref="O8:O52" si="6">SUM(D8,F8,H8,J8,L8,N8)</f>
        <v>525</v>
      </c>
      <c r="P8" s="17">
        <f t="shared" ref="P8:P52" si="7">IF(O8="","",IF(O8="AB","AB",(O8/P$6)*100))</f>
        <v>87.5</v>
      </c>
      <c r="Q8" s="18"/>
    </row>
    <row r="9" spans="1:17" ht="15.75" customHeight="1">
      <c r="A9" s="7">
        <v>2</v>
      </c>
      <c r="B9" s="19" t="s">
        <v>21</v>
      </c>
      <c r="C9" s="20">
        <v>35</v>
      </c>
      <c r="D9" s="10">
        <f t="shared" si="0"/>
        <v>87.5</v>
      </c>
      <c r="E9" s="21">
        <v>28</v>
      </c>
      <c r="F9" s="12">
        <f t="shared" si="1"/>
        <v>70</v>
      </c>
      <c r="G9" s="13">
        <v>38</v>
      </c>
      <c r="H9" s="14">
        <f t="shared" si="2"/>
        <v>95</v>
      </c>
      <c r="I9" s="21">
        <v>36</v>
      </c>
      <c r="J9" s="15">
        <f t="shared" si="3"/>
        <v>90</v>
      </c>
      <c r="K9" s="16">
        <v>35</v>
      </c>
      <c r="L9" s="12">
        <f t="shared" si="4"/>
        <v>87.5</v>
      </c>
      <c r="M9" s="12">
        <v>38</v>
      </c>
      <c r="N9" s="12">
        <f t="shared" si="5"/>
        <v>95</v>
      </c>
      <c r="O9" s="12">
        <f t="shared" si="6"/>
        <v>525</v>
      </c>
      <c r="P9" s="17">
        <f t="shared" si="7"/>
        <v>87.5</v>
      </c>
      <c r="Q9" s="22"/>
    </row>
    <row r="10" spans="1:17" ht="15.75" customHeight="1">
      <c r="A10" s="7">
        <v>3</v>
      </c>
      <c r="B10" s="19" t="s">
        <v>22</v>
      </c>
      <c r="C10" s="20">
        <v>25</v>
      </c>
      <c r="D10" s="10">
        <f t="shared" si="0"/>
        <v>62.5</v>
      </c>
      <c r="E10" s="21" t="s">
        <v>23</v>
      </c>
      <c r="F10" s="12" t="e">
        <f t="shared" si="1"/>
        <v>#NAME?</v>
      </c>
      <c r="G10" s="13">
        <v>17</v>
      </c>
      <c r="H10" s="14">
        <f t="shared" si="2"/>
        <v>42.5</v>
      </c>
      <c r="I10" s="21">
        <v>18</v>
      </c>
      <c r="J10" s="15">
        <f t="shared" si="3"/>
        <v>45</v>
      </c>
      <c r="K10" s="23">
        <v>26</v>
      </c>
      <c r="L10" s="12">
        <f t="shared" si="4"/>
        <v>65</v>
      </c>
      <c r="M10" s="12" t="s">
        <v>24</v>
      </c>
      <c r="N10" s="12" t="e">
        <f t="shared" si="5"/>
        <v>#NAME?</v>
      </c>
      <c r="O10" s="12" t="e">
        <f t="shared" si="6"/>
        <v>#NAME?</v>
      </c>
      <c r="P10" s="17" t="e">
        <f t="shared" si="7"/>
        <v>#NAME?</v>
      </c>
      <c r="Q10" s="22"/>
    </row>
    <row r="11" spans="1:17" ht="15.75" customHeight="1">
      <c r="A11" s="7">
        <v>4</v>
      </c>
      <c r="B11" s="19" t="s">
        <v>25</v>
      </c>
      <c r="C11" s="20">
        <v>24</v>
      </c>
      <c r="D11" s="10">
        <f t="shared" si="0"/>
        <v>60</v>
      </c>
      <c r="E11" s="21">
        <v>15</v>
      </c>
      <c r="F11" s="12">
        <f t="shared" si="1"/>
        <v>37.5</v>
      </c>
      <c r="G11" s="13">
        <v>18</v>
      </c>
      <c r="H11" s="14">
        <f t="shared" si="2"/>
        <v>45</v>
      </c>
      <c r="I11" s="21">
        <v>27</v>
      </c>
      <c r="J11" s="15">
        <f t="shared" si="3"/>
        <v>67.5</v>
      </c>
      <c r="K11" s="23">
        <v>23</v>
      </c>
      <c r="L11" s="12">
        <f t="shared" si="4"/>
        <v>57.499999999999993</v>
      </c>
      <c r="M11" s="12">
        <v>28.5</v>
      </c>
      <c r="N11" s="12">
        <f t="shared" si="5"/>
        <v>71.25</v>
      </c>
      <c r="O11" s="12">
        <f t="shared" si="6"/>
        <v>338.75</v>
      </c>
      <c r="P11" s="17">
        <f t="shared" si="7"/>
        <v>56.458333333333336</v>
      </c>
      <c r="Q11" s="22"/>
    </row>
    <row r="12" spans="1:17" ht="15.75" customHeight="1">
      <c r="A12" s="7">
        <v>5</v>
      </c>
      <c r="B12" s="19" t="s">
        <v>26</v>
      </c>
      <c r="C12" s="20" t="s">
        <v>27</v>
      </c>
      <c r="D12" s="24" t="str">
        <f t="shared" si="0"/>
        <v>TC</v>
      </c>
      <c r="E12" s="21" t="s">
        <v>27</v>
      </c>
      <c r="F12" s="12" t="str">
        <f t="shared" si="1"/>
        <v>TC</v>
      </c>
      <c r="G12" s="13" t="s">
        <v>28</v>
      </c>
      <c r="H12" s="14" t="str">
        <f t="shared" si="2"/>
        <v>TC</v>
      </c>
      <c r="I12" s="21" t="s">
        <v>27</v>
      </c>
      <c r="J12" s="15" t="str">
        <f t="shared" si="3"/>
        <v>TC</v>
      </c>
      <c r="K12" s="23"/>
      <c r="L12" s="12" t="str">
        <f t="shared" si="4"/>
        <v/>
      </c>
      <c r="M12" s="12" t="s">
        <v>27</v>
      </c>
      <c r="N12" s="12" t="str">
        <f t="shared" si="5"/>
        <v>TC</v>
      </c>
      <c r="O12" s="12">
        <f t="shared" si="6"/>
        <v>0</v>
      </c>
      <c r="P12" s="17">
        <f t="shared" si="7"/>
        <v>0</v>
      </c>
      <c r="Q12" s="22"/>
    </row>
    <row r="13" spans="1:17" ht="15.75" customHeight="1">
      <c r="A13" s="7">
        <v>6</v>
      </c>
      <c r="B13" s="19" t="s">
        <v>29</v>
      </c>
      <c r="C13" s="20">
        <v>26</v>
      </c>
      <c r="D13" s="10">
        <f t="shared" si="0"/>
        <v>65</v>
      </c>
      <c r="E13" s="21">
        <v>23</v>
      </c>
      <c r="F13" s="12">
        <f t="shared" si="1"/>
        <v>57.499999999999993</v>
      </c>
      <c r="G13" s="13">
        <v>32</v>
      </c>
      <c r="H13" s="14">
        <f t="shared" si="2"/>
        <v>80</v>
      </c>
      <c r="I13" s="21">
        <v>27</v>
      </c>
      <c r="J13" s="15">
        <f t="shared" si="3"/>
        <v>67.5</v>
      </c>
      <c r="K13" s="23">
        <v>33</v>
      </c>
      <c r="L13" s="12">
        <f t="shared" si="4"/>
        <v>82.5</v>
      </c>
      <c r="M13" s="12">
        <v>33</v>
      </c>
      <c r="N13" s="12">
        <f t="shared" si="5"/>
        <v>82.5</v>
      </c>
      <c r="O13" s="12">
        <f t="shared" si="6"/>
        <v>435</v>
      </c>
      <c r="P13" s="17">
        <f t="shared" si="7"/>
        <v>72.5</v>
      </c>
      <c r="Q13" s="22"/>
    </row>
    <row r="14" spans="1:17" ht="15.75" customHeight="1">
      <c r="A14" s="7">
        <v>7</v>
      </c>
      <c r="B14" s="19" t="s">
        <v>30</v>
      </c>
      <c r="C14" s="20">
        <v>31</v>
      </c>
      <c r="D14" s="10">
        <f t="shared" si="0"/>
        <v>77.5</v>
      </c>
      <c r="E14" s="21">
        <v>26</v>
      </c>
      <c r="F14" s="12">
        <f t="shared" si="1"/>
        <v>65</v>
      </c>
      <c r="G14" s="13">
        <v>33</v>
      </c>
      <c r="H14" s="14">
        <f t="shared" si="2"/>
        <v>82.5</v>
      </c>
      <c r="I14" s="21">
        <v>30</v>
      </c>
      <c r="J14" s="15">
        <f t="shared" si="3"/>
        <v>75</v>
      </c>
      <c r="K14" s="23">
        <v>33</v>
      </c>
      <c r="L14" s="12">
        <f t="shared" si="4"/>
        <v>82.5</v>
      </c>
      <c r="M14" s="12">
        <v>27.5</v>
      </c>
      <c r="N14" s="12">
        <f t="shared" si="5"/>
        <v>68.75</v>
      </c>
      <c r="O14" s="12">
        <f t="shared" si="6"/>
        <v>451.25</v>
      </c>
      <c r="P14" s="17">
        <f t="shared" si="7"/>
        <v>75.208333333333329</v>
      </c>
      <c r="Q14" s="22"/>
    </row>
    <row r="15" spans="1:17" ht="15.75" customHeight="1">
      <c r="A15" s="7">
        <v>8</v>
      </c>
      <c r="B15" s="19" t="s">
        <v>31</v>
      </c>
      <c r="C15" s="20">
        <v>33</v>
      </c>
      <c r="D15" s="10">
        <f t="shared" si="0"/>
        <v>82.5</v>
      </c>
      <c r="E15" s="21">
        <v>30</v>
      </c>
      <c r="F15" s="12">
        <f t="shared" si="1"/>
        <v>75</v>
      </c>
      <c r="G15" s="13">
        <v>32</v>
      </c>
      <c r="H15" s="14">
        <f t="shared" si="2"/>
        <v>80</v>
      </c>
      <c r="I15" s="21">
        <v>35</v>
      </c>
      <c r="J15" s="15">
        <f t="shared" si="3"/>
        <v>87.5</v>
      </c>
      <c r="K15" s="23">
        <v>35</v>
      </c>
      <c r="L15" s="12">
        <f t="shared" si="4"/>
        <v>87.5</v>
      </c>
      <c r="M15" s="12">
        <v>33.5</v>
      </c>
      <c r="N15" s="12">
        <f t="shared" si="5"/>
        <v>83.75</v>
      </c>
      <c r="O15" s="12">
        <f t="shared" si="6"/>
        <v>496.25</v>
      </c>
      <c r="P15" s="17">
        <f t="shared" si="7"/>
        <v>82.708333333333329</v>
      </c>
      <c r="Q15" s="22"/>
    </row>
    <row r="16" spans="1:17" ht="15.75" customHeight="1">
      <c r="A16" s="7">
        <v>9</v>
      </c>
      <c r="B16" s="19" t="s">
        <v>32</v>
      </c>
      <c r="C16" s="20">
        <v>34</v>
      </c>
      <c r="D16" s="10">
        <f t="shared" si="0"/>
        <v>85</v>
      </c>
      <c r="E16" s="21">
        <v>24</v>
      </c>
      <c r="F16" s="12">
        <f t="shared" si="1"/>
        <v>60</v>
      </c>
      <c r="G16" s="13">
        <v>23</v>
      </c>
      <c r="H16" s="14">
        <f t="shared" si="2"/>
        <v>57.499999999999993</v>
      </c>
      <c r="I16" s="21">
        <v>28</v>
      </c>
      <c r="J16" s="15">
        <f t="shared" si="3"/>
        <v>70</v>
      </c>
      <c r="K16" s="23">
        <v>32</v>
      </c>
      <c r="L16" s="12">
        <f t="shared" si="4"/>
        <v>80</v>
      </c>
      <c r="M16" s="12">
        <v>30</v>
      </c>
      <c r="N16" s="12">
        <f t="shared" si="5"/>
        <v>75</v>
      </c>
      <c r="O16" s="12">
        <f t="shared" si="6"/>
        <v>427.5</v>
      </c>
      <c r="P16" s="17">
        <f t="shared" si="7"/>
        <v>71.25</v>
      </c>
      <c r="Q16" s="22"/>
    </row>
    <row r="17" spans="1:17" ht="15.75" customHeight="1">
      <c r="A17" s="7">
        <v>10</v>
      </c>
      <c r="B17" s="19" t="s">
        <v>33</v>
      </c>
      <c r="C17" s="20">
        <v>40</v>
      </c>
      <c r="D17" s="10">
        <f t="shared" si="0"/>
        <v>100</v>
      </c>
      <c r="E17" s="21">
        <v>38</v>
      </c>
      <c r="F17" s="12">
        <f t="shared" si="1"/>
        <v>95</v>
      </c>
      <c r="G17" s="13">
        <v>40</v>
      </c>
      <c r="H17" s="14">
        <f t="shared" si="2"/>
        <v>100</v>
      </c>
      <c r="I17" s="21">
        <v>39</v>
      </c>
      <c r="J17" s="15">
        <f t="shared" si="3"/>
        <v>97.5</v>
      </c>
      <c r="K17" s="23">
        <v>40</v>
      </c>
      <c r="L17" s="12">
        <f t="shared" si="4"/>
        <v>100</v>
      </c>
      <c r="M17" s="12">
        <v>39</v>
      </c>
      <c r="N17" s="12">
        <f t="shared" si="5"/>
        <v>97.5</v>
      </c>
      <c r="O17" s="12">
        <f t="shared" si="6"/>
        <v>590</v>
      </c>
      <c r="P17" s="17">
        <f t="shared" si="7"/>
        <v>98.333333333333329</v>
      </c>
      <c r="Q17" s="22"/>
    </row>
    <row r="18" spans="1:17" ht="15.75" customHeight="1">
      <c r="A18" s="7">
        <v>11</v>
      </c>
      <c r="B18" s="19" t="s">
        <v>34</v>
      </c>
      <c r="C18" s="20">
        <v>35</v>
      </c>
      <c r="D18" s="10">
        <f t="shared" si="0"/>
        <v>87.5</v>
      </c>
      <c r="E18" s="21">
        <v>20</v>
      </c>
      <c r="F18" s="12">
        <f t="shared" si="1"/>
        <v>50</v>
      </c>
      <c r="G18" s="13">
        <v>39</v>
      </c>
      <c r="H18" s="14">
        <f t="shared" si="2"/>
        <v>97.5</v>
      </c>
      <c r="I18" s="21">
        <v>36</v>
      </c>
      <c r="J18" s="15">
        <f t="shared" si="3"/>
        <v>90</v>
      </c>
      <c r="K18" s="23">
        <v>20</v>
      </c>
      <c r="L18" s="12">
        <f t="shared" si="4"/>
        <v>50</v>
      </c>
      <c r="M18" s="12">
        <v>31</v>
      </c>
      <c r="N18" s="12">
        <f t="shared" si="5"/>
        <v>77.5</v>
      </c>
      <c r="O18" s="12">
        <f t="shared" si="6"/>
        <v>452.5</v>
      </c>
      <c r="P18" s="17">
        <f t="shared" si="7"/>
        <v>75.416666666666671</v>
      </c>
      <c r="Q18" s="22"/>
    </row>
    <row r="19" spans="1:17" ht="15.75" customHeight="1">
      <c r="A19" s="7">
        <v>12</v>
      </c>
      <c r="B19" s="19" t="s">
        <v>35</v>
      </c>
      <c r="C19" s="25">
        <v>34</v>
      </c>
      <c r="D19" s="26">
        <f t="shared" si="0"/>
        <v>85</v>
      </c>
      <c r="E19" s="21">
        <v>29</v>
      </c>
      <c r="F19" s="12">
        <f t="shared" si="1"/>
        <v>72.5</v>
      </c>
      <c r="G19" s="13">
        <v>37</v>
      </c>
      <c r="H19" s="14">
        <f t="shared" si="2"/>
        <v>92.5</v>
      </c>
      <c r="I19" s="21">
        <v>34</v>
      </c>
      <c r="J19" s="15">
        <f t="shared" si="3"/>
        <v>85</v>
      </c>
      <c r="K19" s="23">
        <v>32</v>
      </c>
      <c r="L19" s="12">
        <f t="shared" si="4"/>
        <v>80</v>
      </c>
      <c r="M19" s="12">
        <v>38</v>
      </c>
      <c r="N19" s="12">
        <f t="shared" si="5"/>
        <v>95</v>
      </c>
      <c r="O19" s="12">
        <f t="shared" si="6"/>
        <v>510</v>
      </c>
      <c r="P19" s="17">
        <f t="shared" si="7"/>
        <v>85</v>
      </c>
      <c r="Q19" s="22"/>
    </row>
    <row r="20" spans="1:17" ht="15.75" customHeight="1">
      <c r="A20" s="7">
        <v>13</v>
      </c>
      <c r="B20" s="19" t="s">
        <v>36</v>
      </c>
      <c r="C20" s="20">
        <v>36</v>
      </c>
      <c r="D20" s="10">
        <f t="shared" si="0"/>
        <v>90</v>
      </c>
      <c r="E20" s="27">
        <v>37</v>
      </c>
      <c r="F20" s="28">
        <f t="shared" si="1"/>
        <v>92.5</v>
      </c>
      <c r="G20" s="13">
        <v>38</v>
      </c>
      <c r="H20" s="29">
        <f t="shared" si="2"/>
        <v>95</v>
      </c>
      <c r="I20" s="27">
        <v>35</v>
      </c>
      <c r="J20" s="30">
        <f t="shared" si="3"/>
        <v>87.5</v>
      </c>
      <c r="K20" s="31">
        <v>36</v>
      </c>
      <c r="L20" s="28">
        <f t="shared" si="4"/>
        <v>90</v>
      </c>
      <c r="M20" s="28">
        <v>37</v>
      </c>
      <c r="N20" s="28">
        <f t="shared" si="5"/>
        <v>92.5</v>
      </c>
      <c r="O20" s="12">
        <f t="shared" si="6"/>
        <v>547.5</v>
      </c>
      <c r="P20" s="17">
        <f t="shared" si="7"/>
        <v>91.25</v>
      </c>
      <c r="Q20" s="22"/>
    </row>
    <row r="21" spans="1:17" ht="15.75" customHeight="1">
      <c r="A21" s="7">
        <v>14</v>
      </c>
      <c r="B21" s="19" t="s">
        <v>37</v>
      </c>
      <c r="C21" s="20">
        <v>34</v>
      </c>
      <c r="D21" s="10">
        <f t="shared" si="0"/>
        <v>85</v>
      </c>
      <c r="E21" s="27">
        <v>27</v>
      </c>
      <c r="F21" s="28">
        <f t="shared" si="1"/>
        <v>67.5</v>
      </c>
      <c r="G21" s="13">
        <v>39</v>
      </c>
      <c r="H21" s="29">
        <f t="shared" si="2"/>
        <v>97.5</v>
      </c>
      <c r="I21" s="27">
        <v>33</v>
      </c>
      <c r="J21" s="30">
        <f t="shared" si="3"/>
        <v>82.5</v>
      </c>
      <c r="K21" s="31">
        <v>34</v>
      </c>
      <c r="L21" s="28">
        <f t="shared" si="4"/>
        <v>85</v>
      </c>
      <c r="M21" s="28">
        <v>35.5</v>
      </c>
      <c r="N21" s="28">
        <f t="shared" si="5"/>
        <v>88.75</v>
      </c>
      <c r="O21" s="12">
        <f t="shared" si="6"/>
        <v>506.25</v>
      </c>
      <c r="P21" s="17">
        <f t="shared" si="7"/>
        <v>84.375</v>
      </c>
      <c r="Q21" s="22"/>
    </row>
    <row r="22" spans="1:17" ht="15.75" customHeight="1">
      <c r="A22" s="7">
        <v>15</v>
      </c>
      <c r="B22" s="19" t="s">
        <v>38</v>
      </c>
      <c r="C22" s="20">
        <v>31</v>
      </c>
      <c r="D22" s="10">
        <f t="shared" si="0"/>
        <v>77.5</v>
      </c>
      <c r="E22" s="27">
        <v>29</v>
      </c>
      <c r="F22" s="28">
        <f t="shared" si="1"/>
        <v>72.5</v>
      </c>
      <c r="G22" s="13">
        <v>28</v>
      </c>
      <c r="H22" s="29">
        <f t="shared" si="2"/>
        <v>70</v>
      </c>
      <c r="I22" s="27">
        <v>39</v>
      </c>
      <c r="J22" s="30">
        <f t="shared" si="3"/>
        <v>97.5</v>
      </c>
      <c r="K22" s="31">
        <v>28</v>
      </c>
      <c r="L22" s="28">
        <f t="shared" si="4"/>
        <v>70</v>
      </c>
      <c r="M22" s="28">
        <v>30</v>
      </c>
      <c r="N22" s="28">
        <f t="shared" si="5"/>
        <v>75</v>
      </c>
      <c r="O22" s="12">
        <f t="shared" si="6"/>
        <v>462.5</v>
      </c>
      <c r="P22" s="17">
        <f t="shared" si="7"/>
        <v>77.083333333333343</v>
      </c>
      <c r="Q22" s="22"/>
    </row>
    <row r="23" spans="1:17" ht="15.75" customHeight="1">
      <c r="A23" s="7">
        <v>16</v>
      </c>
      <c r="B23" s="19" t="s">
        <v>39</v>
      </c>
      <c r="C23" s="20">
        <v>35</v>
      </c>
      <c r="D23" s="10">
        <f t="shared" si="0"/>
        <v>87.5</v>
      </c>
      <c r="E23" s="27">
        <v>29</v>
      </c>
      <c r="F23" s="28">
        <f t="shared" si="1"/>
        <v>72.5</v>
      </c>
      <c r="G23" s="13">
        <v>38</v>
      </c>
      <c r="H23" s="29">
        <f t="shared" si="2"/>
        <v>95</v>
      </c>
      <c r="I23" s="27">
        <v>30</v>
      </c>
      <c r="J23" s="30">
        <f t="shared" si="3"/>
        <v>75</v>
      </c>
      <c r="K23" s="31">
        <v>36</v>
      </c>
      <c r="L23" s="28">
        <f t="shared" si="4"/>
        <v>90</v>
      </c>
      <c r="M23" s="28">
        <v>38</v>
      </c>
      <c r="N23" s="28">
        <f t="shared" si="5"/>
        <v>95</v>
      </c>
      <c r="O23" s="12">
        <f t="shared" si="6"/>
        <v>515</v>
      </c>
      <c r="P23" s="17">
        <f t="shared" si="7"/>
        <v>85.833333333333329</v>
      </c>
      <c r="Q23" s="22"/>
    </row>
    <row r="24" spans="1:17" ht="15.75" customHeight="1">
      <c r="A24" s="7">
        <v>17</v>
      </c>
      <c r="B24" s="19" t="s">
        <v>40</v>
      </c>
      <c r="C24" s="20">
        <v>28</v>
      </c>
      <c r="D24" s="10">
        <f t="shared" si="0"/>
        <v>70</v>
      </c>
      <c r="E24" s="27">
        <v>22</v>
      </c>
      <c r="F24" s="28">
        <f t="shared" si="1"/>
        <v>55.000000000000007</v>
      </c>
      <c r="G24" s="13">
        <v>21</v>
      </c>
      <c r="H24" s="29">
        <f t="shared" si="2"/>
        <v>52.5</v>
      </c>
      <c r="I24" s="27">
        <v>25</v>
      </c>
      <c r="J24" s="30">
        <f t="shared" si="3"/>
        <v>62.5</v>
      </c>
      <c r="K24" s="31">
        <v>27</v>
      </c>
      <c r="L24" s="28">
        <f t="shared" si="4"/>
        <v>67.5</v>
      </c>
      <c r="M24" s="28">
        <v>30</v>
      </c>
      <c r="N24" s="28">
        <f t="shared" si="5"/>
        <v>75</v>
      </c>
      <c r="O24" s="12">
        <f t="shared" si="6"/>
        <v>382.5</v>
      </c>
      <c r="P24" s="17">
        <f t="shared" si="7"/>
        <v>63.749999999999993</v>
      </c>
      <c r="Q24" s="22"/>
    </row>
    <row r="25" spans="1:17" ht="15.75" customHeight="1">
      <c r="A25" s="7">
        <v>18</v>
      </c>
      <c r="B25" s="19" t="s">
        <v>41</v>
      </c>
      <c r="C25" s="20">
        <v>31</v>
      </c>
      <c r="D25" s="10">
        <f t="shared" si="0"/>
        <v>77.5</v>
      </c>
      <c r="E25" s="27">
        <v>16</v>
      </c>
      <c r="F25" s="28">
        <f t="shared" si="1"/>
        <v>40</v>
      </c>
      <c r="G25" s="13">
        <v>24</v>
      </c>
      <c r="H25" s="29">
        <f t="shared" si="2"/>
        <v>60</v>
      </c>
      <c r="I25" s="27">
        <v>25</v>
      </c>
      <c r="J25" s="30">
        <f t="shared" si="3"/>
        <v>62.5</v>
      </c>
      <c r="K25" s="31">
        <v>28</v>
      </c>
      <c r="L25" s="28">
        <f t="shared" si="4"/>
        <v>70</v>
      </c>
      <c r="M25" s="28">
        <v>24</v>
      </c>
      <c r="N25" s="28">
        <f t="shared" si="5"/>
        <v>60</v>
      </c>
      <c r="O25" s="12">
        <f t="shared" si="6"/>
        <v>370</v>
      </c>
      <c r="P25" s="17">
        <f t="shared" si="7"/>
        <v>61.666666666666671</v>
      </c>
      <c r="Q25" s="22"/>
    </row>
    <row r="26" spans="1:17" ht="15.75" customHeight="1">
      <c r="A26" s="7">
        <v>19</v>
      </c>
      <c r="B26" s="19" t="s">
        <v>42</v>
      </c>
      <c r="C26" s="20">
        <v>26</v>
      </c>
      <c r="D26" s="10">
        <f t="shared" si="0"/>
        <v>65</v>
      </c>
      <c r="E26" s="27">
        <v>11</v>
      </c>
      <c r="F26" s="28">
        <f t="shared" si="1"/>
        <v>27.500000000000004</v>
      </c>
      <c r="G26" s="13">
        <v>23</v>
      </c>
      <c r="H26" s="29">
        <f t="shared" si="2"/>
        <v>57.499999999999993</v>
      </c>
      <c r="I26" s="27">
        <v>25</v>
      </c>
      <c r="J26" s="30">
        <f t="shared" si="3"/>
        <v>62.5</v>
      </c>
      <c r="K26" s="31">
        <v>19</v>
      </c>
      <c r="L26" s="28">
        <f t="shared" si="4"/>
        <v>47.5</v>
      </c>
      <c r="M26" s="28">
        <v>32</v>
      </c>
      <c r="N26" s="28">
        <f t="shared" si="5"/>
        <v>80</v>
      </c>
      <c r="O26" s="12">
        <f t="shared" si="6"/>
        <v>340</v>
      </c>
      <c r="P26" s="17">
        <f t="shared" si="7"/>
        <v>56.666666666666664</v>
      </c>
      <c r="Q26" s="22"/>
    </row>
    <row r="27" spans="1:17" ht="18">
      <c r="A27" s="7">
        <v>20</v>
      </c>
      <c r="B27" s="19" t="s">
        <v>43</v>
      </c>
      <c r="C27" s="20">
        <v>33</v>
      </c>
      <c r="D27" s="10">
        <f t="shared" si="0"/>
        <v>82.5</v>
      </c>
      <c r="E27" s="27">
        <v>20</v>
      </c>
      <c r="F27" s="28">
        <f t="shared" si="1"/>
        <v>50</v>
      </c>
      <c r="G27" s="13">
        <v>26</v>
      </c>
      <c r="H27" s="29">
        <f t="shared" si="2"/>
        <v>65</v>
      </c>
      <c r="I27" s="27">
        <v>30</v>
      </c>
      <c r="J27" s="30">
        <f t="shared" si="3"/>
        <v>75</v>
      </c>
      <c r="K27" s="31">
        <v>32</v>
      </c>
      <c r="L27" s="28">
        <f t="shared" si="4"/>
        <v>80</v>
      </c>
      <c r="M27" s="28">
        <v>23</v>
      </c>
      <c r="N27" s="28">
        <f t="shared" si="5"/>
        <v>57.499999999999993</v>
      </c>
      <c r="O27" s="12">
        <f t="shared" si="6"/>
        <v>410</v>
      </c>
      <c r="P27" s="17">
        <f t="shared" si="7"/>
        <v>68.333333333333329</v>
      </c>
      <c r="Q27" s="22"/>
    </row>
    <row r="28" spans="1:17" ht="18">
      <c r="A28" s="7">
        <v>21</v>
      </c>
      <c r="B28" s="19" t="s">
        <v>44</v>
      </c>
      <c r="C28" s="20">
        <v>33</v>
      </c>
      <c r="D28" s="10">
        <f t="shared" si="0"/>
        <v>82.5</v>
      </c>
      <c r="E28" s="27">
        <v>17</v>
      </c>
      <c r="F28" s="28">
        <f t="shared" si="1"/>
        <v>42.5</v>
      </c>
      <c r="G28" s="13">
        <v>24</v>
      </c>
      <c r="H28" s="29">
        <f t="shared" si="2"/>
        <v>60</v>
      </c>
      <c r="I28" s="27">
        <v>25</v>
      </c>
      <c r="J28" s="30">
        <f t="shared" si="3"/>
        <v>62.5</v>
      </c>
      <c r="K28" s="31">
        <v>23</v>
      </c>
      <c r="L28" s="28">
        <f t="shared" si="4"/>
        <v>57.499999999999993</v>
      </c>
      <c r="M28" s="28">
        <v>25</v>
      </c>
      <c r="N28" s="28">
        <f t="shared" si="5"/>
        <v>62.5</v>
      </c>
      <c r="O28" s="12">
        <f t="shared" si="6"/>
        <v>367.5</v>
      </c>
      <c r="P28" s="17">
        <f t="shared" si="7"/>
        <v>61.250000000000007</v>
      </c>
      <c r="Q28" s="22"/>
    </row>
    <row r="29" spans="1:17" ht="18">
      <c r="A29" s="7">
        <v>22</v>
      </c>
      <c r="B29" s="19" t="s">
        <v>45</v>
      </c>
      <c r="C29" s="20">
        <v>33</v>
      </c>
      <c r="D29" s="10">
        <f t="shared" si="0"/>
        <v>82.5</v>
      </c>
      <c r="E29" s="27">
        <v>14</v>
      </c>
      <c r="F29" s="28">
        <f t="shared" si="1"/>
        <v>35</v>
      </c>
      <c r="G29" s="13">
        <v>18</v>
      </c>
      <c r="H29" s="29">
        <f t="shared" si="2"/>
        <v>45</v>
      </c>
      <c r="I29" s="27">
        <v>26</v>
      </c>
      <c r="J29" s="30">
        <f t="shared" si="3"/>
        <v>65</v>
      </c>
      <c r="K29" s="31">
        <v>25</v>
      </c>
      <c r="L29" s="28">
        <f t="shared" si="4"/>
        <v>62.5</v>
      </c>
      <c r="M29" s="28">
        <v>24</v>
      </c>
      <c r="N29" s="28">
        <f t="shared" si="5"/>
        <v>60</v>
      </c>
      <c r="O29" s="12">
        <f t="shared" si="6"/>
        <v>350</v>
      </c>
      <c r="P29" s="17">
        <f t="shared" si="7"/>
        <v>58.333333333333336</v>
      </c>
      <c r="Q29" s="22"/>
    </row>
    <row r="30" spans="1:17" ht="18">
      <c r="A30" s="7">
        <v>23</v>
      </c>
      <c r="B30" s="19" t="s">
        <v>46</v>
      </c>
      <c r="C30" s="20">
        <v>36</v>
      </c>
      <c r="D30" s="10">
        <f t="shared" si="0"/>
        <v>90</v>
      </c>
      <c r="E30" s="27">
        <v>32</v>
      </c>
      <c r="F30" s="28">
        <f t="shared" si="1"/>
        <v>80</v>
      </c>
      <c r="G30" s="13">
        <v>38</v>
      </c>
      <c r="H30" s="29">
        <f t="shared" si="2"/>
        <v>95</v>
      </c>
      <c r="I30" s="27">
        <v>29</v>
      </c>
      <c r="J30" s="30">
        <f t="shared" si="3"/>
        <v>72.5</v>
      </c>
      <c r="K30" s="31">
        <v>35</v>
      </c>
      <c r="L30" s="28">
        <f t="shared" si="4"/>
        <v>87.5</v>
      </c>
      <c r="M30" s="28">
        <v>38</v>
      </c>
      <c r="N30" s="28">
        <f t="shared" si="5"/>
        <v>95</v>
      </c>
      <c r="O30" s="12">
        <f t="shared" si="6"/>
        <v>520</v>
      </c>
      <c r="P30" s="17">
        <f t="shared" si="7"/>
        <v>86.666666666666671</v>
      </c>
      <c r="Q30" s="22"/>
    </row>
    <row r="31" spans="1:17" ht="18">
      <c r="A31" s="7">
        <v>24</v>
      </c>
      <c r="B31" s="19" t="s">
        <v>47</v>
      </c>
      <c r="C31" s="20">
        <v>31</v>
      </c>
      <c r="D31" s="10">
        <f t="shared" si="0"/>
        <v>77.5</v>
      </c>
      <c r="E31" s="27">
        <v>17</v>
      </c>
      <c r="F31" s="28">
        <f t="shared" si="1"/>
        <v>42.5</v>
      </c>
      <c r="G31" s="13">
        <v>21</v>
      </c>
      <c r="H31" s="29">
        <f t="shared" si="2"/>
        <v>52.5</v>
      </c>
      <c r="I31" s="27">
        <v>24</v>
      </c>
      <c r="J31" s="30">
        <f t="shared" si="3"/>
        <v>60</v>
      </c>
      <c r="K31" s="31">
        <v>26</v>
      </c>
      <c r="L31" s="28">
        <f t="shared" si="4"/>
        <v>65</v>
      </c>
      <c r="M31" s="28">
        <v>19</v>
      </c>
      <c r="N31" s="28">
        <f t="shared" si="5"/>
        <v>47.5</v>
      </c>
      <c r="O31" s="12">
        <f t="shared" si="6"/>
        <v>345</v>
      </c>
      <c r="P31" s="17">
        <f t="shared" si="7"/>
        <v>57.499999999999993</v>
      </c>
      <c r="Q31" s="22"/>
    </row>
    <row r="32" spans="1:17" ht="18">
      <c r="A32" s="7">
        <v>25</v>
      </c>
      <c r="B32" s="19" t="s">
        <v>48</v>
      </c>
      <c r="C32" s="20">
        <v>36</v>
      </c>
      <c r="D32" s="10">
        <f t="shared" si="0"/>
        <v>90</v>
      </c>
      <c r="E32" s="27">
        <v>29</v>
      </c>
      <c r="F32" s="28">
        <f t="shared" si="1"/>
        <v>72.5</v>
      </c>
      <c r="G32" s="13">
        <v>36</v>
      </c>
      <c r="H32" s="29">
        <f t="shared" si="2"/>
        <v>90</v>
      </c>
      <c r="I32" s="27">
        <v>32</v>
      </c>
      <c r="J32" s="30">
        <f t="shared" si="3"/>
        <v>80</v>
      </c>
      <c r="K32" s="31">
        <v>34</v>
      </c>
      <c r="L32" s="28">
        <f t="shared" si="4"/>
        <v>85</v>
      </c>
      <c r="M32" s="28">
        <v>30</v>
      </c>
      <c r="N32" s="28">
        <f t="shared" si="5"/>
        <v>75</v>
      </c>
      <c r="O32" s="12">
        <f t="shared" si="6"/>
        <v>492.5</v>
      </c>
      <c r="P32" s="17">
        <f t="shared" si="7"/>
        <v>82.083333333333329</v>
      </c>
      <c r="Q32" s="22"/>
    </row>
    <row r="33" spans="1:17" ht="18">
      <c r="A33" s="7">
        <v>26</v>
      </c>
      <c r="B33" s="19" t="s">
        <v>49</v>
      </c>
      <c r="C33" s="20">
        <v>28</v>
      </c>
      <c r="D33" s="10">
        <f t="shared" si="0"/>
        <v>70</v>
      </c>
      <c r="E33" s="27" t="s">
        <v>23</v>
      </c>
      <c r="F33" s="28" t="e">
        <f t="shared" si="1"/>
        <v>#NAME?</v>
      </c>
      <c r="G33" s="13">
        <v>21</v>
      </c>
      <c r="H33" s="29">
        <f t="shared" si="2"/>
        <v>52.5</v>
      </c>
      <c r="I33" s="27">
        <v>32</v>
      </c>
      <c r="J33" s="30">
        <f t="shared" si="3"/>
        <v>80</v>
      </c>
      <c r="K33" s="31">
        <v>35</v>
      </c>
      <c r="L33" s="28">
        <f t="shared" si="4"/>
        <v>87.5</v>
      </c>
      <c r="M33" s="28">
        <v>29.5</v>
      </c>
      <c r="N33" s="28">
        <f t="shared" si="5"/>
        <v>73.75</v>
      </c>
      <c r="O33" s="12" t="e">
        <f t="shared" si="6"/>
        <v>#NAME?</v>
      </c>
      <c r="P33" s="17" t="e">
        <f t="shared" si="7"/>
        <v>#NAME?</v>
      </c>
      <c r="Q33" s="22"/>
    </row>
    <row r="34" spans="1:17" ht="18">
      <c r="A34" s="7">
        <v>27</v>
      </c>
      <c r="B34" s="19" t="s">
        <v>50</v>
      </c>
      <c r="C34" s="20">
        <v>34</v>
      </c>
      <c r="D34" s="10">
        <f t="shared" si="0"/>
        <v>85</v>
      </c>
      <c r="E34" s="27">
        <v>28</v>
      </c>
      <c r="F34" s="28">
        <f t="shared" si="1"/>
        <v>70</v>
      </c>
      <c r="G34" s="13">
        <v>39</v>
      </c>
      <c r="H34" s="29">
        <f t="shared" si="2"/>
        <v>97.5</v>
      </c>
      <c r="I34" s="27">
        <v>29</v>
      </c>
      <c r="J34" s="30">
        <f t="shared" si="3"/>
        <v>72.5</v>
      </c>
      <c r="K34" s="31">
        <v>36</v>
      </c>
      <c r="L34" s="28">
        <f t="shared" si="4"/>
        <v>90</v>
      </c>
      <c r="M34" s="28">
        <v>36.5</v>
      </c>
      <c r="N34" s="28">
        <f t="shared" si="5"/>
        <v>91.25</v>
      </c>
      <c r="O34" s="12">
        <f t="shared" si="6"/>
        <v>506.25</v>
      </c>
      <c r="P34" s="17">
        <f t="shared" si="7"/>
        <v>84.375</v>
      </c>
      <c r="Q34" s="22"/>
    </row>
    <row r="35" spans="1:17" ht="18">
      <c r="A35" s="7">
        <v>28</v>
      </c>
      <c r="B35" s="19" t="s">
        <v>51</v>
      </c>
      <c r="C35" s="20">
        <v>25</v>
      </c>
      <c r="D35" s="10">
        <f t="shared" si="0"/>
        <v>62.5</v>
      </c>
      <c r="E35" s="27">
        <v>35</v>
      </c>
      <c r="F35" s="28">
        <f t="shared" si="1"/>
        <v>87.5</v>
      </c>
      <c r="G35" s="13">
        <v>31</v>
      </c>
      <c r="H35" s="29">
        <f t="shared" si="2"/>
        <v>77.5</v>
      </c>
      <c r="I35" s="27">
        <v>33</v>
      </c>
      <c r="J35" s="30">
        <f t="shared" si="3"/>
        <v>82.5</v>
      </c>
      <c r="K35" s="31">
        <v>32</v>
      </c>
      <c r="L35" s="28">
        <f t="shared" si="4"/>
        <v>80</v>
      </c>
      <c r="M35" s="28">
        <v>33</v>
      </c>
      <c r="N35" s="28">
        <f t="shared" si="5"/>
        <v>82.5</v>
      </c>
      <c r="O35" s="12">
        <f t="shared" si="6"/>
        <v>472.5</v>
      </c>
      <c r="P35" s="17">
        <f t="shared" si="7"/>
        <v>78.75</v>
      </c>
      <c r="Q35" s="22"/>
    </row>
    <row r="36" spans="1:17" ht="18">
      <c r="A36" s="7">
        <v>29</v>
      </c>
      <c r="B36" s="19" t="s">
        <v>52</v>
      </c>
      <c r="C36" s="20">
        <v>8</v>
      </c>
      <c r="D36" s="10">
        <f t="shared" si="0"/>
        <v>20</v>
      </c>
      <c r="E36" s="27">
        <v>13</v>
      </c>
      <c r="F36" s="28">
        <f t="shared" si="1"/>
        <v>32.5</v>
      </c>
      <c r="G36" s="13">
        <v>7</v>
      </c>
      <c r="H36" s="29">
        <f t="shared" si="2"/>
        <v>17.5</v>
      </c>
      <c r="I36" s="27">
        <v>9</v>
      </c>
      <c r="J36" s="30">
        <f t="shared" si="3"/>
        <v>22.5</v>
      </c>
      <c r="K36" s="31">
        <v>20</v>
      </c>
      <c r="L36" s="28">
        <f t="shared" si="4"/>
        <v>50</v>
      </c>
      <c r="M36" s="28">
        <v>18.5</v>
      </c>
      <c r="N36" s="28">
        <f t="shared" si="5"/>
        <v>46.25</v>
      </c>
      <c r="O36" s="12">
        <f t="shared" si="6"/>
        <v>188.75</v>
      </c>
      <c r="P36" s="17">
        <f t="shared" si="7"/>
        <v>31.458333333333332</v>
      </c>
      <c r="Q36" s="22"/>
    </row>
    <row r="37" spans="1:17" ht="18">
      <c r="A37" s="7">
        <v>30</v>
      </c>
      <c r="B37" s="19" t="s">
        <v>53</v>
      </c>
      <c r="C37" s="20">
        <v>20</v>
      </c>
      <c r="D37" s="10">
        <f t="shared" si="0"/>
        <v>50</v>
      </c>
      <c r="E37" s="27">
        <v>10</v>
      </c>
      <c r="F37" s="28">
        <f t="shared" si="1"/>
        <v>25</v>
      </c>
      <c r="G37" s="13">
        <v>20</v>
      </c>
      <c r="H37" s="29">
        <f t="shared" si="2"/>
        <v>50</v>
      </c>
      <c r="I37" s="27">
        <v>18</v>
      </c>
      <c r="J37" s="30">
        <f t="shared" si="3"/>
        <v>45</v>
      </c>
      <c r="K37" s="31">
        <v>23</v>
      </c>
      <c r="L37" s="28">
        <f t="shared" si="4"/>
        <v>57.499999999999993</v>
      </c>
      <c r="M37" s="28">
        <v>22</v>
      </c>
      <c r="N37" s="28">
        <f t="shared" si="5"/>
        <v>55.000000000000007</v>
      </c>
      <c r="O37" s="12">
        <f t="shared" si="6"/>
        <v>282.5</v>
      </c>
      <c r="P37" s="17">
        <f t="shared" si="7"/>
        <v>47.083333333333336</v>
      </c>
      <c r="Q37" s="22"/>
    </row>
    <row r="38" spans="1:17" ht="18">
      <c r="A38" s="7">
        <v>31</v>
      </c>
      <c r="B38" s="19" t="s">
        <v>54</v>
      </c>
      <c r="C38" s="20">
        <v>29</v>
      </c>
      <c r="D38" s="10">
        <f t="shared" si="0"/>
        <v>72.5</v>
      </c>
      <c r="E38" s="27">
        <v>19</v>
      </c>
      <c r="F38" s="28">
        <f t="shared" si="1"/>
        <v>47.5</v>
      </c>
      <c r="G38" s="13">
        <v>29</v>
      </c>
      <c r="H38" s="29">
        <f t="shared" si="2"/>
        <v>72.5</v>
      </c>
      <c r="I38" s="27">
        <v>30</v>
      </c>
      <c r="J38" s="30">
        <f t="shared" si="3"/>
        <v>75</v>
      </c>
      <c r="K38" s="31">
        <v>28</v>
      </c>
      <c r="L38" s="28">
        <f t="shared" si="4"/>
        <v>70</v>
      </c>
      <c r="M38" s="28">
        <v>32.5</v>
      </c>
      <c r="N38" s="28">
        <f t="shared" si="5"/>
        <v>81.25</v>
      </c>
      <c r="O38" s="12">
        <f t="shared" si="6"/>
        <v>418.75</v>
      </c>
      <c r="P38" s="17">
        <f t="shared" si="7"/>
        <v>69.791666666666657</v>
      </c>
      <c r="Q38" s="22"/>
    </row>
    <row r="39" spans="1:17" ht="18">
      <c r="A39" s="7">
        <v>32</v>
      </c>
      <c r="B39" s="19" t="s">
        <v>55</v>
      </c>
      <c r="C39" s="20">
        <v>25</v>
      </c>
      <c r="D39" s="10">
        <f t="shared" si="0"/>
        <v>62.5</v>
      </c>
      <c r="E39" s="27">
        <v>16</v>
      </c>
      <c r="F39" s="28">
        <f t="shared" si="1"/>
        <v>40</v>
      </c>
      <c r="G39" s="13">
        <v>35</v>
      </c>
      <c r="H39" s="29">
        <f t="shared" si="2"/>
        <v>87.5</v>
      </c>
      <c r="I39" s="27">
        <v>28</v>
      </c>
      <c r="J39" s="30">
        <f t="shared" si="3"/>
        <v>70</v>
      </c>
      <c r="K39" s="31">
        <v>30</v>
      </c>
      <c r="L39" s="28">
        <f t="shared" si="4"/>
        <v>75</v>
      </c>
      <c r="M39" s="28">
        <v>34.5</v>
      </c>
      <c r="N39" s="28">
        <f t="shared" si="5"/>
        <v>86.25</v>
      </c>
      <c r="O39" s="12">
        <f t="shared" si="6"/>
        <v>421.25</v>
      </c>
      <c r="P39" s="17">
        <f t="shared" si="7"/>
        <v>70.208333333333329</v>
      </c>
      <c r="Q39" s="22"/>
    </row>
    <row r="40" spans="1:17" ht="18">
      <c r="A40" s="7">
        <v>33</v>
      </c>
      <c r="B40" s="19" t="s">
        <v>56</v>
      </c>
      <c r="C40" s="20">
        <v>28</v>
      </c>
      <c r="D40" s="10">
        <f t="shared" si="0"/>
        <v>70</v>
      </c>
      <c r="E40" s="27">
        <v>28</v>
      </c>
      <c r="F40" s="28">
        <f t="shared" si="1"/>
        <v>70</v>
      </c>
      <c r="G40" s="13">
        <v>32</v>
      </c>
      <c r="H40" s="29">
        <f t="shared" si="2"/>
        <v>80</v>
      </c>
      <c r="I40" s="27">
        <v>34</v>
      </c>
      <c r="J40" s="30">
        <f t="shared" si="3"/>
        <v>85</v>
      </c>
      <c r="K40" s="31">
        <v>32</v>
      </c>
      <c r="L40" s="28">
        <f t="shared" si="4"/>
        <v>80</v>
      </c>
      <c r="M40" s="28">
        <v>11</v>
      </c>
      <c r="N40" s="28">
        <f t="shared" si="5"/>
        <v>27.500000000000004</v>
      </c>
      <c r="O40" s="12">
        <f t="shared" si="6"/>
        <v>412.5</v>
      </c>
      <c r="P40" s="17">
        <f t="shared" si="7"/>
        <v>68.75</v>
      </c>
      <c r="Q40" s="22"/>
    </row>
    <row r="41" spans="1:17" ht="18">
      <c r="A41" s="7">
        <v>34</v>
      </c>
      <c r="B41" s="32" t="s">
        <v>57</v>
      </c>
      <c r="C41" s="20">
        <v>37</v>
      </c>
      <c r="D41" s="10">
        <f t="shared" si="0"/>
        <v>92.5</v>
      </c>
      <c r="E41" s="27">
        <v>38</v>
      </c>
      <c r="F41" s="28">
        <f t="shared" si="1"/>
        <v>95</v>
      </c>
      <c r="G41" s="13">
        <v>39</v>
      </c>
      <c r="H41" s="29">
        <f t="shared" si="2"/>
        <v>97.5</v>
      </c>
      <c r="I41" s="27">
        <v>40</v>
      </c>
      <c r="J41" s="30">
        <f t="shared" si="3"/>
        <v>100</v>
      </c>
      <c r="K41" s="31">
        <v>37</v>
      </c>
      <c r="L41" s="28">
        <f t="shared" si="4"/>
        <v>92.5</v>
      </c>
      <c r="M41" s="28">
        <v>37.5</v>
      </c>
      <c r="N41" s="28">
        <f t="shared" si="5"/>
        <v>93.75</v>
      </c>
      <c r="O41" s="12">
        <f t="shared" si="6"/>
        <v>571.25</v>
      </c>
      <c r="P41" s="17">
        <f t="shared" si="7"/>
        <v>95.208333333333329</v>
      </c>
      <c r="Q41" s="22"/>
    </row>
    <row r="42" spans="1:17" ht="18">
      <c r="A42" s="7">
        <v>35</v>
      </c>
      <c r="B42" s="19" t="s">
        <v>58</v>
      </c>
      <c r="C42" s="20">
        <v>27</v>
      </c>
      <c r="D42" s="10">
        <f t="shared" si="0"/>
        <v>67.5</v>
      </c>
      <c r="E42" s="27">
        <v>25</v>
      </c>
      <c r="F42" s="28">
        <f t="shared" si="1"/>
        <v>62.5</v>
      </c>
      <c r="G42" s="13">
        <v>26</v>
      </c>
      <c r="H42" s="29">
        <f t="shared" si="2"/>
        <v>65</v>
      </c>
      <c r="I42" s="27">
        <v>32</v>
      </c>
      <c r="J42" s="30">
        <f t="shared" si="3"/>
        <v>80</v>
      </c>
      <c r="K42" s="31">
        <v>28</v>
      </c>
      <c r="L42" s="28">
        <f t="shared" si="4"/>
        <v>70</v>
      </c>
      <c r="M42" s="28">
        <v>32.5</v>
      </c>
      <c r="N42" s="28">
        <f t="shared" si="5"/>
        <v>81.25</v>
      </c>
      <c r="O42" s="12">
        <f t="shared" si="6"/>
        <v>426.25</v>
      </c>
      <c r="P42" s="17">
        <f t="shared" si="7"/>
        <v>71.041666666666671</v>
      </c>
      <c r="Q42" s="22"/>
    </row>
    <row r="43" spans="1:17" ht="18">
      <c r="A43" s="7">
        <v>36</v>
      </c>
      <c r="B43" s="19" t="s">
        <v>59</v>
      </c>
      <c r="C43" s="20" t="s">
        <v>28</v>
      </c>
      <c r="D43" s="24" t="s">
        <v>28</v>
      </c>
      <c r="E43" s="27" t="s">
        <v>27</v>
      </c>
      <c r="F43" s="28" t="s">
        <v>28</v>
      </c>
      <c r="G43" s="13" t="s">
        <v>28</v>
      </c>
      <c r="H43" s="29" t="str">
        <f t="shared" si="2"/>
        <v>TC</v>
      </c>
      <c r="I43" s="27" t="s">
        <v>27</v>
      </c>
      <c r="J43" s="30" t="str">
        <f t="shared" si="3"/>
        <v>TC</v>
      </c>
      <c r="K43" s="31"/>
      <c r="L43" s="28" t="str">
        <f t="shared" si="4"/>
        <v/>
      </c>
      <c r="M43" s="28" t="s">
        <v>27</v>
      </c>
      <c r="N43" s="28"/>
      <c r="O43" s="12">
        <f t="shared" si="6"/>
        <v>0</v>
      </c>
      <c r="P43" s="17">
        <f t="shared" si="7"/>
        <v>0</v>
      </c>
      <c r="Q43" s="22"/>
    </row>
    <row r="44" spans="1:17" ht="18">
      <c r="A44" s="7">
        <v>37</v>
      </c>
      <c r="B44" s="19" t="s">
        <v>60</v>
      </c>
      <c r="C44" s="20">
        <v>14</v>
      </c>
      <c r="D44" s="10">
        <f t="shared" ref="D44:D56" si="8">IF(C44="","",IF(C44="AB",AB,IF(C44="TC","TC",(C44/D$6)*100)))</f>
        <v>35</v>
      </c>
      <c r="E44" s="27">
        <v>7</v>
      </c>
      <c r="F44" s="28">
        <f t="shared" ref="F44:F56" si="9">IF(E44="","",IF(E44="AB",AB,IF(E44="TC","TC",(E44/F$6)*100)))</f>
        <v>17.5</v>
      </c>
      <c r="G44" s="13">
        <v>13</v>
      </c>
      <c r="H44" s="29">
        <f t="shared" si="2"/>
        <v>32.5</v>
      </c>
      <c r="I44" s="27">
        <v>15</v>
      </c>
      <c r="J44" s="30">
        <f t="shared" si="3"/>
        <v>37.5</v>
      </c>
      <c r="K44" s="31">
        <v>16</v>
      </c>
      <c r="L44" s="28">
        <f t="shared" si="4"/>
        <v>40</v>
      </c>
      <c r="M44" s="28">
        <v>20.5</v>
      </c>
      <c r="N44" s="28">
        <f t="shared" ref="N44:N56" si="10">IF(M44="","",IF(M44="AB",AB,IF(M44="TC","TC",(M44/N$6)*100)))</f>
        <v>51.249999999999993</v>
      </c>
      <c r="O44" s="12">
        <f t="shared" si="6"/>
        <v>213.75</v>
      </c>
      <c r="P44" s="17">
        <f t="shared" si="7"/>
        <v>35.625</v>
      </c>
      <c r="Q44" s="22"/>
    </row>
    <row r="45" spans="1:17" ht="18">
      <c r="A45" s="7">
        <v>38</v>
      </c>
      <c r="B45" s="19" t="s">
        <v>61</v>
      </c>
      <c r="C45" s="20">
        <v>23</v>
      </c>
      <c r="D45" s="10">
        <f t="shared" si="8"/>
        <v>57.499999999999993</v>
      </c>
      <c r="E45" s="27">
        <v>29</v>
      </c>
      <c r="F45" s="28">
        <f t="shared" si="9"/>
        <v>72.5</v>
      </c>
      <c r="G45" s="13">
        <v>17</v>
      </c>
      <c r="H45" s="29">
        <f t="shared" si="2"/>
        <v>42.5</v>
      </c>
      <c r="I45" s="27">
        <v>27</v>
      </c>
      <c r="J45" s="30">
        <f t="shared" si="3"/>
        <v>67.5</v>
      </c>
      <c r="K45" s="31">
        <v>25</v>
      </c>
      <c r="L45" s="28">
        <f t="shared" si="4"/>
        <v>62.5</v>
      </c>
      <c r="M45" s="28">
        <v>20</v>
      </c>
      <c r="N45" s="28">
        <f t="shared" si="10"/>
        <v>50</v>
      </c>
      <c r="O45" s="12">
        <f t="shared" si="6"/>
        <v>352.5</v>
      </c>
      <c r="P45" s="17">
        <f t="shared" si="7"/>
        <v>58.75</v>
      </c>
      <c r="Q45" s="22"/>
    </row>
    <row r="46" spans="1:17" ht="18">
      <c r="A46" s="7">
        <v>39</v>
      </c>
      <c r="B46" s="19" t="s">
        <v>62</v>
      </c>
      <c r="C46" s="20">
        <v>25</v>
      </c>
      <c r="D46" s="10">
        <f t="shared" si="8"/>
        <v>62.5</v>
      </c>
      <c r="E46" s="27">
        <v>7</v>
      </c>
      <c r="F46" s="28">
        <f t="shared" si="9"/>
        <v>17.5</v>
      </c>
      <c r="G46" s="13">
        <v>17</v>
      </c>
      <c r="H46" s="29">
        <f t="shared" si="2"/>
        <v>42.5</v>
      </c>
      <c r="I46" s="27">
        <v>17</v>
      </c>
      <c r="J46" s="30">
        <f t="shared" si="3"/>
        <v>42.5</v>
      </c>
      <c r="K46" s="31">
        <v>18</v>
      </c>
      <c r="L46" s="28">
        <f t="shared" si="4"/>
        <v>45</v>
      </c>
      <c r="M46" s="28">
        <v>24</v>
      </c>
      <c r="N46" s="28">
        <f t="shared" si="10"/>
        <v>60</v>
      </c>
      <c r="O46" s="12">
        <f t="shared" si="6"/>
        <v>270</v>
      </c>
      <c r="P46" s="17">
        <f t="shared" si="7"/>
        <v>45</v>
      </c>
      <c r="Q46" s="22"/>
    </row>
    <row r="47" spans="1:17" ht="18">
      <c r="A47" s="7">
        <v>40</v>
      </c>
      <c r="B47" s="19" t="s">
        <v>63</v>
      </c>
      <c r="C47" s="20">
        <v>38</v>
      </c>
      <c r="D47" s="10">
        <f t="shared" si="8"/>
        <v>95</v>
      </c>
      <c r="E47" s="27">
        <v>36</v>
      </c>
      <c r="F47" s="28">
        <f t="shared" si="9"/>
        <v>90</v>
      </c>
      <c r="G47" s="13">
        <v>38</v>
      </c>
      <c r="H47" s="29">
        <f t="shared" si="2"/>
        <v>95</v>
      </c>
      <c r="I47" s="27">
        <v>38</v>
      </c>
      <c r="J47" s="30">
        <f t="shared" si="3"/>
        <v>95</v>
      </c>
      <c r="K47" s="31">
        <v>38</v>
      </c>
      <c r="L47" s="28">
        <f t="shared" si="4"/>
        <v>95</v>
      </c>
      <c r="M47" s="28">
        <v>38.5</v>
      </c>
      <c r="N47" s="28">
        <f t="shared" si="10"/>
        <v>96.25</v>
      </c>
      <c r="O47" s="12">
        <f t="shared" si="6"/>
        <v>566.25</v>
      </c>
      <c r="P47" s="17">
        <f t="shared" si="7"/>
        <v>94.375</v>
      </c>
      <c r="Q47" s="22"/>
    </row>
    <row r="48" spans="1:17" ht="18">
      <c r="A48" s="7">
        <v>41</v>
      </c>
      <c r="B48" s="19" t="s">
        <v>64</v>
      </c>
      <c r="C48" s="20">
        <v>32</v>
      </c>
      <c r="D48" s="10">
        <f t="shared" si="8"/>
        <v>80</v>
      </c>
      <c r="E48" s="27">
        <v>34</v>
      </c>
      <c r="F48" s="28">
        <f t="shared" si="9"/>
        <v>85</v>
      </c>
      <c r="G48" s="13">
        <v>33</v>
      </c>
      <c r="H48" s="29">
        <f t="shared" si="2"/>
        <v>82.5</v>
      </c>
      <c r="I48" s="27">
        <v>34</v>
      </c>
      <c r="J48" s="30">
        <f t="shared" si="3"/>
        <v>85</v>
      </c>
      <c r="K48" s="31">
        <v>31</v>
      </c>
      <c r="L48" s="28">
        <f t="shared" si="4"/>
        <v>77.5</v>
      </c>
      <c r="M48" s="28">
        <v>35</v>
      </c>
      <c r="N48" s="28">
        <f t="shared" si="10"/>
        <v>87.5</v>
      </c>
      <c r="O48" s="12">
        <f t="shared" si="6"/>
        <v>497.5</v>
      </c>
      <c r="P48" s="17">
        <f t="shared" si="7"/>
        <v>82.916666666666671</v>
      </c>
      <c r="Q48" s="22"/>
    </row>
    <row r="49" spans="1:17" ht="18">
      <c r="A49" s="7">
        <v>42</v>
      </c>
      <c r="B49" s="19" t="s">
        <v>65</v>
      </c>
      <c r="C49" s="33">
        <v>31</v>
      </c>
      <c r="D49" s="10">
        <f t="shared" si="8"/>
        <v>77.5</v>
      </c>
      <c r="E49" s="13">
        <v>27</v>
      </c>
      <c r="F49" s="28">
        <f t="shared" si="9"/>
        <v>67.5</v>
      </c>
      <c r="G49" s="13">
        <v>37</v>
      </c>
      <c r="H49" s="29">
        <f t="shared" si="2"/>
        <v>92.5</v>
      </c>
      <c r="I49" s="13">
        <v>30</v>
      </c>
      <c r="J49" s="30">
        <f t="shared" si="3"/>
        <v>75</v>
      </c>
      <c r="K49" s="13">
        <v>31</v>
      </c>
      <c r="L49" s="28">
        <f t="shared" si="4"/>
        <v>77.5</v>
      </c>
      <c r="M49" s="28">
        <v>30</v>
      </c>
      <c r="N49" s="28">
        <f t="shared" si="10"/>
        <v>75</v>
      </c>
      <c r="O49" s="12">
        <f t="shared" si="6"/>
        <v>465</v>
      </c>
      <c r="P49" s="17">
        <f t="shared" si="7"/>
        <v>77.5</v>
      </c>
      <c r="Q49" s="22"/>
    </row>
    <row r="50" spans="1:17" ht="18">
      <c r="A50" s="7">
        <v>43</v>
      </c>
      <c r="B50" s="19" t="s">
        <v>66</v>
      </c>
      <c r="C50" s="33">
        <v>26</v>
      </c>
      <c r="D50" s="10">
        <f t="shared" si="8"/>
        <v>65</v>
      </c>
      <c r="E50" s="13">
        <v>20</v>
      </c>
      <c r="F50" s="28">
        <f t="shared" si="9"/>
        <v>50</v>
      </c>
      <c r="G50" s="13">
        <v>25</v>
      </c>
      <c r="H50" s="29">
        <f t="shared" si="2"/>
        <v>62.5</v>
      </c>
      <c r="I50" s="13">
        <v>27</v>
      </c>
      <c r="J50" s="30">
        <f t="shared" si="3"/>
        <v>67.5</v>
      </c>
      <c r="K50" s="13">
        <v>27</v>
      </c>
      <c r="L50" s="28">
        <f t="shared" si="4"/>
        <v>67.5</v>
      </c>
      <c r="M50" s="28">
        <v>32</v>
      </c>
      <c r="N50" s="28">
        <f t="shared" si="10"/>
        <v>80</v>
      </c>
      <c r="O50" s="12">
        <f t="shared" si="6"/>
        <v>392.5</v>
      </c>
      <c r="P50" s="17">
        <f t="shared" si="7"/>
        <v>65.416666666666671</v>
      </c>
      <c r="Q50" s="22"/>
    </row>
    <row r="51" spans="1:17" ht="18">
      <c r="A51" s="7">
        <v>44</v>
      </c>
      <c r="B51" s="19" t="s">
        <v>67</v>
      </c>
      <c r="C51" s="34">
        <v>35</v>
      </c>
      <c r="D51" s="10">
        <f t="shared" si="8"/>
        <v>87.5</v>
      </c>
      <c r="E51" s="12">
        <v>30</v>
      </c>
      <c r="F51" s="12">
        <f t="shared" si="9"/>
        <v>75</v>
      </c>
      <c r="G51" s="14">
        <v>36</v>
      </c>
      <c r="H51" s="14">
        <f t="shared" si="2"/>
        <v>90</v>
      </c>
      <c r="I51" s="12">
        <v>35</v>
      </c>
      <c r="J51" s="15">
        <f t="shared" si="3"/>
        <v>87.5</v>
      </c>
      <c r="K51" s="12">
        <v>30</v>
      </c>
      <c r="L51" s="12">
        <f t="shared" si="4"/>
        <v>75</v>
      </c>
      <c r="M51" s="12">
        <v>28.5</v>
      </c>
      <c r="N51" s="12">
        <f t="shared" si="10"/>
        <v>71.25</v>
      </c>
      <c r="O51" s="12">
        <f t="shared" si="6"/>
        <v>486.25</v>
      </c>
      <c r="P51" s="17">
        <f t="shared" si="7"/>
        <v>81.041666666666671</v>
      </c>
      <c r="Q51" s="22"/>
    </row>
    <row r="52" spans="1:17" ht="18">
      <c r="A52" s="7">
        <v>45</v>
      </c>
      <c r="B52" s="19" t="s">
        <v>68</v>
      </c>
      <c r="C52" s="34">
        <v>31</v>
      </c>
      <c r="D52" s="10">
        <f t="shared" si="8"/>
        <v>77.5</v>
      </c>
      <c r="E52" s="12">
        <v>20</v>
      </c>
      <c r="F52" s="12">
        <f t="shared" si="9"/>
        <v>50</v>
      </c>
      <c r="G52" s="14">
        <v>34</v>
      </c>
      <c r="H52" s="14">
        <f t="shared" si="2"/>
        <v>85</v>
      </c>
      <c r="I52" s="12">
        <v>30</v>
      </c>
      <c r="J52" s="15">
        <f t="shared" si="3"/>
        <v>75</v>
      </c>
      <c r="K52" s="12">
        <v>32</v>
      </c>
      <c r="L52" s="12">
        <f t="shared" si="4"/>
        <v>80</v>
      </c>
      <c r="M52" s="12">
        <v>30.5</v>
      </c>
      <c r="N52" s="12">
        <f t="shared" si="10"/>
        <v>76.25</v>
      </c>
      <c r="O52" s="12">
        <f t="shared" si="6"/>
        <v>443.75</v>
      </c>
      <c r="P52" s="17">
        <f t="shared" si="7"/>
        <v>73.958333333333343</v>
      </c>
      <c r="Q52" s="22"/>
    </row>
    <row r="53" spans="1:17" ht="18">
      <c r="A53" s="7">
        <v>46</v>
      </c>
      <c r="B53" s="35" t="s">
        <v>69</v>
      </c>
      <c r="C53" s="36">
        <v>37</v>
      </c>
      <c r="D53" s="37">
        <f t="shared" si="8"/>
        <v>92.5</v>
      </c>
      <c r="E53" s="37">
        <v>37</v>
      </c>
      <c r="F53" s="37">
        <f t="shared" si="9"/>
        <v>92.5</v>
      </c>
      <c r="G53" s="38">
        <v>38</v>
      </c>
      <c r="H53" s="14">
        <f t="shared" si="2"/>
        <v>95</v>
      </c>
      <c r="I53" s="37">
        <v>32</v>
      </c>
      <c r="J53" s="15">
        <f t="shared" si="3"/>
        <v>80</v>
      </c>
      <c r="K53" s="37">
        <v>37</v>
      </c>
      <c r="L53" s="12">
        <f t="shared" si="4"/>
        <v>92.5</v>
      </c>
      <c r="M53" s="37">
        <v>38</v>
      </c>
      <c r="N53" s="37">
        <f t="shared" si="10"/>
        <v>95</v>
      </c>
      <c r="O53" s="37"/>
      <c r="P53" s="39"/>
      <c r="Q53" s="22"/>
    </row>
    <row r="54" spans="1:17" ht="18">
      <c r="A54" s="7">
        <v>47</v>
      </c>
      <c r="B54" s="22"/>
      <c r="C54" s="37"/>
      <c r="D54" s="37" t="str">
        <f t="shared" si="8"/>
        <v/>
      </c>
      <c r="E54" s="37"/>
      <c r="F54" s="37" t="str">
        <f t="shared" si="9"/>
        <v/>
      </c>
      <c r="G54" s="38"/>
      <c r="H54" s="38"/>
      <c r="I54" s="37"/>
      <c r="J54" s="40" t="str">
        <f t="shared" si="3"/>
        <v/>
      </c>
      <c r="K54" s="37"/>
      <c r="L54" s="37"/>
      <c r="M54" s="37"/>
      <c r="N54" s="37" t="str">
        <f t="shared" si="10"/>
        <v/>
      </c>
      <c r="O54" s="37"/>
      <c r="P54" s="39" t="str">
        <f t="shared" ref="P54:P55" si="11">IF(O54="","",IF(O54="AB","AB",(O54/P$6)*100))</f>
        <v/>
      </c>
      <c r="Q54" s="41" t="str">
        <f t="shared" ref="Q54:Q55" si="12">IF(P54=0,"",IF(T54="FAIL","FAIL","PASS"))</f>
        <v>PASS</v>
      </c>
    </row>
    <row r="55" spans="1:17" ht="18">
      <c r="A55" s="7">
        <v>48</v>
      </c>
      <c r="B55" s="22"/>
      <c r="C55" s="37"/>
      <c r="D55" s="37" t="str">
        <f t="shared" si="8"/>
        <v/>
      </c>
      <c r="E55" s="37"/>
      <c r="F55" s="37" t="str">
        <f t="shared" si="9"/>
        <v/>
      </c>
      <c r="G55" s="38"/>
      <c r="H55" s="38" t="str">
        <f t="shared" ref="H55:H56" si="13">IF(G55="","",IF(G55="AB",AB,IF(G55="TC","TC",(G55/H$6)*100)))</f>
        <v/>
      </c>
      <c r="I55" s="22"/>
      <c r="J55" s="40" t="str">
        <f t="shared" si="3"/>
        <v/>
      </c>
      <c r="K55" s="37"/>
      <c r="L55" s="37" t="str">
        <f t="shared" ref="L55:L56" si="14">IF(K55="","",IF(K55="AB",AB,IF(K55="TC","TC",(K55/L$6)*100)))</f>
        <v/>
      </c>
      <c r="M55" s="37"/>
      <c r="N55" s="37" t="str">
        <f t="shared" si="10"/>
        <v/>
      </c>
      <c r="O55" s="37"/>
      <c r="P55" s="39" t="str">
        <f t="shared" si="11"/>
        <v/>
      </c>
      <c r="Q55" s="41" t="str">
        <f t="shared" si="12"/>
        <v>PASS</v>
      </c>
    </row>
    <row r="56" spans="1:17" ht="18">
      <c r="A56" s="361" t="s">
        <v>70</v>
      </c>
      <c r="B56" s="362"/>
      <c r="C56" s="42">
        <f>IF(C59=0,"",SUM(C8:C52)/C59)</f>
        <v>30</v>
      </c>
      <c r="D56" s="12">
        <f t="shared" si="8"/>
        <v>75</v>
      </c>
      <c r="E56" s="42">
        <f>IF(E59=0,"",SUM(E8:E52)/E59)</f>
        <v>24.146341463414632</v>
      </c>
      <c r="F56" s="42">
        <f t="shared" si="9"/>
        <v>60.365853658536587</v>
      </c>
      <c r="G56" s="42">
        <f>IF(G59=0,"",SUM(G9:G55)/G59)</f>
        <v>29.069767441860463</v>
      </c>
      <c r="H56" s="42">
        <f t="shared" si="13"/>
        <v>72.674418604651152</v>
      </c>
      <c r="I56" s="42">
        <f>IF(I59=0,"",SUM(I9:I55)/I59)</f>
        <v>29.255813953488371</v>
      </c>
      <c r="J56" s="42">
        <f t="shared" si="3"/>
        <v>73.139534883720927</v>
      </c>
      <c r="K56" s="42">
        <f>IF(K59=0,"",SUM(K9:K55)/K59)</f>
        <v>29.720930232558139</v>
      </c>
      <c r="L56" s="42">
        <f t="shared" si="14"/>
        <v>74.302325581395351</v>
      </c>
      <c r="M56" s="42">
        <f>IF(M59=0,"",SUM(M9:M55)/M59)</f>
        <v>30.202380952380953</v>
      </c>
      <c r="N56" s="42">
        <f t="shared" si="10"/>
        <v>75.50595238095238</v>
      </c>
      <c r="O56" s="39" t="str">
        <f>IF(O59=0,"",SUM(O9:O55)/O59)</f>
        <v/>
      </c>
      <c r="P56" s="39" t="str">
        <f>IF(O59=0,"",SUM(P9:P55)/O59)</f>
        <v/>
      </c>
      <c r="Q56" s="39"/>
    </row>
    <row r="57" spans="1:17" ht="31.2">
      <c r="A57" s="387" t="s">
        <v>71</v>
      </c>
      <c r="B57" s="43" t="s">
        <v>72</v>
      </c>
      <c r="C57" s="359">
        <f>COUNTA(C9:C55)</f>
        <v>45</v>
      </c>
      <c r="D57" s="360"/>
      <c r="E57" s="359">
        <f>COUNTA(E9:E55)</f>
        <v>45</v>
      </c>
      <c r="F57" s="360"/>
      <c r="G57" s="359">
        <v>44</v>
      </c>
      <c r="H57" s="360"/>
      <c r="I57" s="359">
        <f>COUNTA(I9:I55)</f>
        <v>45</v>
      </c>
      <c r="J57" s="360"/>
      <c r="K57" s="359">
        <f>COUNTA(K9:K55)</f>
        <v>43</v>
      </c>
      <c r="L57" s="360"/>
      <c r="M57" s="359">
        <f>COUNTA(M9:M55)</f>
        <v>45</v>
      </c>
      <c r="N57" s="360"/>
      <c r="O57" s="359" t="s">
        <v>15</v>
      </c>
      <c r="P57" s="378"/>
      <c r="Q57" s="360"/>
    </row>
    <row r="58" spans="1:17" ht="17.399999999999999">
      <c r="A58" s="381"/>
      <c r="B58" s="45" t="s">
        <v>73</v>
      </c>
      <c r="C58" s="361">
        <f>C57-C59</f>
        <v>2</v>
      </c>
      <c r="D58" s="362"/>
      <c r="E58" s="361">
        <f>E57-E59</f>
        <v>4</v>
      </c>
      <c r="F58" s="362"/>
      <c r="G58" s="361">
        <f>G57-G59</f>
        <v>1</v>
      </c>
      <c r="H58" s="362"/>
      <c r="I58" s="361">
        <f>I57-I59</f>
        <v>2</v>
      </c>
      <c r="J58" s="362"/>
      <c r="K58" s="361">
        <f>K57-K59</f>
        <v>0</v>
      </c>
      <c r="L58" s="362"/>
      <c r="M58" s="361">
        <f>M57-M59</f>
        <v>3</v>
      </c>
      <c r="N58" s="362"/>
      <c r="O58" s="361">
        <f>COUNTIF(R9:R55,0)</f>
        <v>0</v>
      </c>
      <c r="P58" s="364"/>
      <c r="Q58" s="362"/>
    </row>
    <row r="59" spans="1:17" ht="17.399999999999999">
      <c r="A59" s="381"/>
      <c r="B59" s="46" t="s">
        <v>74</v>
      </c>
      <c r="C59" s="361">
        <f>COUNTIFS(D9:D55,"&gt;0")</f>
        <v>43</v>
      </c>
      <c r="D59" s="362"/>
      <c r="E59" s="361">
        <f>COUNTIFS(F9:F55,"&gt;0")</f>
        <v>41</v>
      </c>
      <c r="F59" s="362"/>
      <c r="G59" s="361">
        <f>COUNTIFS(H9:H55,"&gt;0")</f>
        <v>43</v>
      </c>
      <c r="H59" s="362"/>
      <c r="I59" s="361">
        <f>COUNTIFS(J9:J55,"&gt;0")</f>
        <v>43</v>
      </c>
      <c r="J59" s="362"/>
      <c r="K59" s="361">
        <f>COUNTIFS(L9:L55,"&gt;0")</f>
        <v>43</v>
      </c>
      <c r="L59" s="362"/>
      <c r="M59" s="361">
        <f>COUNTIFS(N9:N55,"&gt;0")</f>
        <v>42</v>
      </c>
      <c r="N59" s="362"/>
      <c r="O59" s="372"/>
      <c r="P59" s="364"/>
      <c r="Q59" s="362"/>
    </row>
    <row r="60" spans="1:17" ht="17.399999999999999">
      <c r="A60" s="381"/>
      <c r="B60" s="46" t="s">
        <v>75</v>
      </c>
      <c r="C60" s="361">
        <f>C59-C62</f>
        <v>42</v>
      </c>
      <c r="D60" s="362"/>
      <c r="E60" s="361">
        <f>E59-E62</f>
        <v>37</v>
      </c>
      <c r="F60" s="362"/>
      <c r="G60" s="361">
        <f>G59-G62</f>
        <v>42</v>
      </c>
      <c r="H60" s="362"/>
      <c r="I60" s="361">
        <f>I59-I62</f>
        <v>42</v>
      </c>
      <c r="J60" s="362"/>
      <c r="K60" s="361">
        <f>K59-K62</f>
        <v>43</v>
      </c>
      <c r="L60" s="362"/>
      <c r="M60" s="361">
        <f>M59-M62</f>
        <v>41</v>
      </c>
      <c r="N60" s="362"/>
      <c r="O60" s="372"/>
      <c r="P60" s="364"/>
      <c r="Q60" s="362"/>
    </row>
    <row r="61" spans="1:17" ht="17.399999999999999">
      <c r="A61" s="381"/>
      <c r="B61" s="46" t="s">
        <v>76</v>
      </c>
      <c r="C61" s="363">
        <f>IF(C59=0,"",(C60/C59)*100)</f>
        <v>97.674418604651152</v>
      </c>
      <c r="D61" s="362"/>
      <c r="E61" s="363">
        <f>IF(E59=0,"",(E60/E59)*100)</f>
        <v>90.243902439024396</v>
      </c>
      <c r="F61" s="362"/>
      <c r="G61" s="363">
        <f>IF(G59=0,"",(G60/G59)*100)</f>
        <v>97.674418604651152</v>
      </c>
      <c r="H61" s="362"/>
      <c r="I61" s="363">
        <f>IF(I59=0,"",(I60/I59)*100)</f>
        <v>97.674418604651152</v>
      </c>
      <c r="J61" s="362"/>
      <c r="K61" s="363">
        <f>IF(K59=0,"",(K60/K59)*100)</f>
        <v>100</v>
      </c>
      <c r="L61" s="362"/>
      <c r="M61" s="363">
        <f>IF(M59=0,"",(M60/M59)*100)</f>
        <v>97.61904761904762</v>
      </c>
      <c r="N61" s="362"/>
      <c r="O61" s="386"/>
      <c r="P61" s="364"/>
      <c r="Q61" s="362"/>
    </row>
    <row r="62" spans="1:17" ht="17.399999999999999">
      <c r="A62" s="381"/>
      <c r="B62" s="46" t="s">
        <v>77</v>
      </c>
      <c r="C62" s="361">
        <f>COUNTIFS(D9:D55,"&lt;=32",D9:D55,"&gt; 0")</f>
        <v>1</v>
      </c>
      <c r="D62" s="362"/>
      <c r="E62" s="361">
        <f>COUNTIFS(F9:F55,"&lt;=32",F9:F55,"&gt; 0")</f>
        <v>4</v>
      </c>
      <c r="F62" s="362"/>
      <c r="G62" s="361">
        <f>COUNTIFS(H9:H55,"&lt;=32",H9:H55,"&gt; 0")</f>
        <v>1</v>
      </c>
      <c r="H62" s="362"/>
      <c r="I62" s="361">
        <f>COUNTIFS(J9:J55,"&lt;=32",J9:J55,"&gt; 0")</f>
        <v>1</v>
      </c>
      <c r="J62" s="362"/>
      <c r="K62" s="361">
        <f>COUNTIFS(L9:L55,"&lt;=32",L9:L55,"&gt; 0")</f>
        <v>0</v>
      </c>
      <c r="L62" s="362"/>
      <c r="M62" s="361">
        <f>COUNTIFS(N9:N55,"&lt;=32",N9:N55,"&gt; 0")</f>
        <v>1</v>
      </c>
      <c r="N62" s="362"/>
      <c r="O62" s="361">
        <f>COUNTIFS(P9:P55,"&lt;=32",P9:P55,"&gt; 0")</f>
        <v>1</v>
      </c>
      <c r="P62" s="364"/>
      <c r="Q62" s="362"/>
    </row>
    <row r="63" spans="1:17" ht="17.399999999999999">
      <c r="A63" s="381"/>
      <c r="B63" s="46" t="s">
        <v>78</v>
      </c>
      <c r="C63" s="361">
        <f>COUNTIFS(D9:D55,"&gt;=32.1",D9:D55,"&lt;=44")</f>
        <v>1</v>
      </c>
      <c r="D63" s="362"/>
      <c r="E63" s="361">
        <f>COUNTIFS(F9:F55,"&gt;=32.1",F9:F55,"&lt;=44")</f>
        <v>7</v>
      </c>
      <c r="F63" s="362"/>
      <c r="G63" s="361">
        <f>COUNTIFS(H9:H55,"&gt;=32.1",H9:H55,"&lt;=44")</f>
        <v>4</v>
      </c>
      <c r="H63" s="362"/>
      <c r="I63" s="361">
        <f>COUNTIFS(J9:J55,"&gt;=32.1",J9:J55,"&lt;=44")</f>
        <v>2</v>
      </c>
      <c r="J63" s="362"/>
      <c r="K63" s="361">
        <f>COUNTIFS(L9:L55,"&gt;=32.1",L9:L55,"&lt;=44")</f>
        <v>1</v>
      </c>
      <c r="L63" s="362"/>
      <c r="M63" s="361">
        <f>COUNTIFS(N9:N55,"&gt;=32.1",N9:N55,"&lt;=44")</f>
        <v>0</v>
      </c>
      <c r="N63" s="362"/>
      <c r="O63" s="361">
        <f>COUNTIFS(P9:P55,"&gt;=32.1",P9:P55,"&lt;=44")</f>
        <v>1</v>
      </c>
      <c r="P63" s="364"/>
      <c r="Q63" s="362"/>
    </row>
    <row r="64" spans="1:17" ht="18">
      <c r="A64" s="381"/>
      <c r="B64" s="46" t="s">
        <v>79</v>
      </c>
      <c r="C64" s="361">
        <f>COUNTIFS(D9:D55,"&gt;=44.1",D9:D55,"&lt;=59")</f>
        <v>2</v>
      </c>
      <c r="D64" s="362"/>
      <c r="E64" s="361">
        <f>COUNTIFS(F9:F55,"&gt;=44.1",F9:F55,"&lt;=59")</f>
        <v>7</v>
      </c>
      <c r="F64" s="362"/>
      <c r="G64" s="361">
        <f>COUNTIFS(H9:H55,"&gt;=44.1",H9:H55,"&lt;=59")</f>
        <v>8</v>
      </c>
      <c r="H64" s="362"/>
      <c r="I64" s="361">
        <f>COUNTIFS(J9:J55,"&gt;=44.1",J9:J55,"&lt;=59")</f>
        <v>2</v>
      </c>
      <c r="J64" s="362"/>
      <c r="K64" s="361">
        <f>COUNTIFS(L9:L55,"&gt;=44.1",L9:L55,"&lt;=59")</f>
        <v>7</v>
      </c>
      <c r="L64" s="362"/>
      <c r="M64" s="365">
        <f>COUNTIFS(N9:N55,"&gt;=44.1",N9:N55,"&lt;=59")</f>
        <v>6</v>
      </c>
      <c r="N64" s="366"/>
      <c r="O64" s="361">
        <f>COUNTIFS(P9:P55,"&gt;=44.1",P9:P55,"&lt;=59")</f>
        <v>7</v>
      </c>
      <c r="P64" s="364"/>
      <c r="Q64" s="362"/>
    </row>
    <row r="65" spans="1:17" ht="17.399999999999999">
      <c r="A65" s="381"/>
      <c r="B65" s="46" t="s">
        <v>80</v>
      </c>
      <c r="C65" s="361">
        <f>COUNTIFS(D9:D55,"&gt;=59.1",D9:D55,"&lt;=74")</f>
        <v>13</v>
      </c>
      <c r="D65" s="362"/>
      <c r="E65" s="361">
        <f>COUNTIFS(F9:F55,"&gt;=59.1",F9:F55,"&lt;=74")</f>
        <v>13</v>
      </c>
      <c r="F65" s="362"/>
      <c r="G65" s="361">
        <f>COUNTIFS(H9:H55,"&gt;=59.1",H9:H55,"&lt;=74")</f>
        <v>7</v>
      </c>
      <c r="H65" s="362"/>
      <c r="I65" s="361">
        <f>COUNTIFS(J9:J55,"&gt;=59.1",J9:J55,"&lt;=74")</f>
        <v>14</v>
      </c>
      <c r="J65" s="362"/>
      <c r="K65" s="361">
        <f>COUNTIFS(L9:L55,"&gt;=59.1",L9:L55,"&lt;=74")</f>
        <v>10</v>
      </c>
      <c r="L65" s="362"/>
      <c r="M65" s="361">
        <f>COUNTIFS(N9:N55,"&gt;=59.1",N9:N55,"&lt;=74")</f>
        <v>8</v>
      </c>
      <c r="N65" s="362"/>
      <c r="O65" s="361">
        <f>COUNTIFS(P9:P55,"&gt;=59.1",P9:P55,"&lt;=74")</f>
        <v>12</v>
      </c>
      <c r="P65" s="364"/>
      <c r="Q65" s="362"/>
    </row>
    <row r="66" spans="1:17" ht="17.399999999999999">
      <c r="A66" s="381"/>
      <c r="B66" s="46" t="s">
        <v>81</v>
      </c>
      <c r="C66" s="361">
        <f>COUNTIFS(D9:D55,"&gt;=74.1",D9:D55,"&lt;89")</f>
        <v>19</v>
      </c>
      <c r="D66" s="362"/>
      <c r="E66" s="361">
        <f>COUNTIFS(F9:F55,"&gt;=74.1",F9:F55,"&lt;89")</f>
        <v>5</v>
      </c>
      <c r="F66" s="362"/>
      <c r="G66" s="361">
        <f>COUNTIFS(H9:H55,"&gt;=74.1",H9:H55,"&lt;89")</f>
        <v>8</v>
      </c>
      <c r="H66" s="362"/>
      <c r="I66" s="361">
        <f>COUNTIFS(J9:J55,"&gt;=74.1",J9:J55,"&lt;89")</f>
        <v>18</v>
      </c>
      <c r="J66" s="362"/>
      <c r="K66" s="361">
        <f>COUNTIFS(L9:L55,"&gt;=74.1",L9:L55,"&lt;89")</f>
        <v>18</v>
      </c>
      <c r="L66" s="362"/>
      <c r="M66" s="361">
        <f>COUNTIFS(N9:N55,"&gt;=74.1",N9:N55,"&lt;89")</f>
        <v>17</v>
      </c>
      <c r="N66" s="362"/>
      <c r="O66" s="361">
        <f>COUNTIFS(P9:P55,"&gt;=74.1",P9:P55,"&lt;89")</f>
        <v>15</v>
      </c>
      <c r="P66" s="364"/>
      <c r="Q66" s="362"/>
    </row>
    <row r="67" spans="1:17" ht="17.399999999999999">
      <c r="A67" s="382"/>
      <c r="B67" s="48" t="s">
        <v>82</v>
      </c>
      <c r="C67" s="370">
        <f>COUNTIF(D9:D55,"&gt;=89.1")</f>
        <v>7</v>
      </c>
      <c r="D67" s="371"/>
      <c r="E67" s="370">
        <f>COUNTIF(F9:F55,"&gt;=89.1")</f>
        <v>5</v>
      </c>
      <c r="F67" s="371"/>
      <c r="G67" s="370">
        <f>COUNTIF(H9:H55,"&gt;=89.1")</f>
        <v>15</v>
      </c>
      <c r="H67" s="371"/>
      <c r="I67" s="370">
        <f>COUNTIF(J9:J55,"&gt;=89.1")</f>
        <v>6</v>
      </c>
      <c r="J67" s="371"/>
      <c r="K67" s="370">
        <f>COUNTIF(L9:L55,"&gt;=89.1")</f>
        <v>7</v>
      </c>
      <c r="L67" s="371"/>
      <c r="M67" s="370">
        <f>COUNTIF(N9:N55,"&gt;=89.1")</f>
        <v>10</v>
      </c>
      <c r="N67" s="371"/>
      <c r="O67" s="361">
        <f>COUNTIF(P9:P55,"&gt;=89.1")</f>
        <v>4</v>
      </c>
      <c r="P67" s="364"/>
      <c r="Q67" s="362"/>
    </row>
    <row r="68" spans="1:17" ht="14.4">
      <c r="A68" s="388" t="s">
        <v>83</v>
      </c>
      <c r="B68" s="364"/>
      <c r="C68" s="372"/>
      <c r="D68" s="362"/>
      <c r="E68" s="372"/>
      <c r="F68" s="362"/>
      <c r="G68" s="372"/>
      <c r="H68" s="362"/>
      <c r="I68" s="372"/>
      <c r="J68" s="362"/>
      <c r="K68" s="372"/>
      <c r="L68" s="362"/>
      <c r="M68" s="372"/>
      <c r="N68" s="362"/>
      <c r="O68" s="367" t="s">
        <v>84</v>
      </c>
      <c r="P68" s="364"/>
      <c r="Q68" s="49" t="str">
        <f>IF(O59=0,"",O58/O59*100)</f>
        <v/>
      </c>
    </row>
    <row r="69" spans="1:17" ht="14.4">
      <c r="A69" s="50"/>
      <c r="B69" s="50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</row>
    <row r="70" spans="1:17" ht="17.399999999999999">
      <c r="A70" s="389" t="s">
        <v>85</v>
      </c>
      <c r="B70" s="369"/>
      <c r="C70" s="390"/>
      <c r="D70" s="369"/>
      <c r="E70" s="369"/>
      <c r="F70" s="369"/>
      <c r="G70" s="369"/>
      <c r="H70" s="369"/>
      <c r="I70" s="369"/>
      <c r="J70" s="369"/>
      <c r="K70" s="369"/>
      <c r="L70" s="369"/>
      <c r="M70" s="368" t="s">
        <v>86</v>
      </c>
      <c r="N70" s="369"/>
      <c r="O70" s="369"/>
      <c r="P70" s="369"/>
      <c r="Q70" s="369"/>
    </row>
  </sheetData>
  <mergeCells count="108">
    <mergeCell ref="A68:B68"/>
    <mergeCell ref="C68:D68"/>
    <mergeCell ref="E68:F68"/>
    <mergeCell ref="G68:H68"/>
    <mergeCell ref="I68:J68"/>
    <mergeCell ref="K68:L68"/>
    <mergeCell ref="A70:B70"/>
    <mergeCell ref="C70:L70"/>
    <mergeCell ref="A56:B56"/>
    <mergeCell ref="A57:A67"/>
    <mergeCell ref="E57:F57"/>
    <mergeCell ref="G57:H57"/>
    <mergeCell ref="I57:J57"/>
    <mergeCell ref="K57:L57"/>
    <mergeCell ref="K58:L58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C66:D66"/>
    <mergeCell ref="M60:N60"/>
    <mergeCell ref="O60:Q60"/>
    <mergeCell ref="O61:Q61"/>
    <mergeCell ref="K66:L66"/>
    <mergeCell ref="C67:D67"/>
    <mergeCell ref="E67:F67"/>
    <mergeCell ref="G67:H67"/>
    <mergeCell ref="I67:J67"/>
    <mergeCell ref="K67:L67"/>
    <mergeCell ref="E66:F66"/>
    <mergeCell ref="G66:H66"/>
    <mergeCell ref="I66:J66"/>
    <mergeCell ref="M57:N57"/>
    <mergeCell ref="O57:Q57"/>
    <mergeCell ref="C58:D58"/>
    <mergeCell ref="E58:F58"/>
    <mergeCell ref="G58:H58"/>
    <mergeCell ref="I58:J58"/>
    <mergeCell ref="M58:N58"/>
    <mergeCell ref="O58:Q58"/>
    <mergeCell ref="E59:F59"/>
    <mergeCell ref="G59:H59"/>
    <mergeCell ref="M59:N59"/>
    <mergeCell ref="O59:Q59"/>
    <mergeCell ref="A2:D2"/>
    <mergeCell ref="E2:J2"/>
    <mergeCell ref="K2:Q2"/>
    <mergeCell ref="C3:D3"/>
    <mergeCell ref="E3:J3"/>
    <mergeCell ref="K3:Q3"/>
    <mergeCell ref="A4:Q4"/>
    <mergeCell ref="K5:L5"/>
    <mergeCell ref="M5:N5"/>
    <mergeCell ref="O5:P5"/>
    <mergeCell ref="Q5:Q7"/>
    <mergeCell ref="A3:B3"/>
    <mergeCell ref="A5:A7"/>
    <mergeCell ref="B5:B7"/>
    <mergeCell ref="C5:D5"/>
    <mergeCell ref="E5:F5"/>
    <mergeCell ref="G5:H5"/>
    <mergeCell ref="I5:J5"/>
    <mergeCell ref="M61:N61"/>
    <mergeCell ref="M62:N62"/>
    <mergeCell ref="O62:Q62"/>
    <mergeCell ref="M63:N63"/>
    <mergeCell ref="O63:Q63"/>
    <mergeCell ref="M64:N64"/>
    <mergeCell ref="O64:Q64"/>
    <mergeCell ref="O68:P68"/>
    <mergeCell ref="M70:Q70"/>
    <mergeCell ref="M65:N65"/>
    <mergeCell ref="O65:Q65"/>
    <mergeCell ref="M66:N66"/>
    <mergeCell ref="O66:Q66"/>
    <mergeCell ref="M67:N67"/>
    <mergeCell ref="O67:Q67"/>
    <mergeCell ref="M68:N68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C57:D57"/>
    <mergeCell ref="C59:D59"/>
    <mergeCell ref="I59:J59"/>
    <mergeCell ref="K59:L59"/>
    <mergeCell ref="C60:D60"/>
    <mergeCell ref="E60:F60"/>
    <mergeCell ref="G60:H60"/>
    <mergeCell ref="I60:J60"/>
    <mergeCell ref="K60:L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0"/>
  <sheetViews>
    <sheetView tabSelected="1" workbookViewId="0">
      <selection sqref="A1:R1"/>
    </sheetView>
  </sheetViews>
  <sheetFormatPr defaultColWidth="12.6640625" defaultRowHeight="15.75" customHeight="1"/>
  <cols>
    <col min="2" max="2" width="18.6640625" customWidth="1"/>
  </cols>
  <sheetData>
    <row r="1" spans="1:18" ht="15.75" customHeight="1">
      <c r="A1" s="392" t="s">
        <v>87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</row>
    <row r="2" spans="1:18" ht="15.75" customHeight="1">
      <c r="A2" s="373" t="s">
        <v>0</v>
      </c>
      <c r="B2" s="366"/>
      <c r="C2" s="366"/>
      <c r="D2" s="366"/>
      <c r="E2" s="374" t="s">
        <v>1</v>
      </c>
      <c r="F2" s="366"/>
      <c r="G2" s="366"/>
      <c r="H2" s="366"/>
      <c r="I2" s="366"/>
      <c r="J2" s="366"/>
      <c r="K2" s="375" t="s">
        <v>2</v>
      </c>
      <c r="L2" s="366"/>
      <c r="M2" s="366"/>
      <c r="N2" s="366"/>
      <c r="O2" s="366"/>
      <c r="P2" s="366"/>
      <c r="Q2" s="366"/>
      <c r="R2" s="366"/>
    </row>
    <row r="3" spans="1:18" ht="15.75" customHeight="1">
      <c r="A3" s="383" t="s">
        <v>88</v>
      </c>
      <c r="B3" s="366"/>
      <c r="C3" s="376"/>
      <c r="D3" s="366"/>
      <c r="E3" s="374" t="s">
        <v>4</v>
      </c>
      <c r="F3" s="366"/>
      <c r="G3" s="366"/>
      <c r="H3" s="366"/>
      <c r="I3" s="366"/>
      <c r="J3" s="366"/>
      <c r="K3" s="374" t="s">
        <v>5</v>
      </c>
      <c r="L3" s="366"/>
      <c r="M3" s="366"/>
      <c r="N3" s="366"/>
      <c r="O3" s="366"/>
      <c r="P3" s="366"/>
      <c r="Q3" s="366"/>
      <c r="R3" s="366"/>
    </row>
    <row r="4" spans="1:18" ht="15.75" customHeight="1">
      <c r="A4" s="377" t="s">
        <v>89</v>
      </c>
      <c r="B4" s="378"/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8"/>
      <c r="O4" s="378"/>
      <c r="P4" s="378"/>
      <c r="Q4" s="378"/>
      <c r="R4" s="378"/>
    </row>
    <row r="5" spans="1:18">
      <c r="A5" s="384" t="s">
        <v>7</v>
      </c>
      <c r="B5" s="385" t="s">
        <v>8</v>
      </c>
      <c r="C5" s="379" t="s">
        <v>9</v>
      </c>
      <c r="D5" s="360"/>
      <c r="E5" s="379" t="s">
        <v>10</v>
      </c>
      <c r="F5" s="360"/>
      <c r="G5" s="379" t="s">
        <v>11</v>
      </c>
      <c r="H5" s="360"/>
      <c r="I5" s="379" t="s">
        <v>12</v>
      </c>
      <c r="J5" s="360"/>
      <c r="K5" s="379" t="s">
        <v>13</v>
      </c>
      <c r="L5" s="360"/>
      <c r="M5" s="53"/>
      <c r="N5" s="379" t="s">
        <v>14</v>
      </c>
      <c r="O5" s="360"/>
      <c r="P5" s="367" t="s">
        <v>15</v>
      </c>
      <c r="Q5" s="362"/>
      <c r="R5" s="380" t="s">
        <v>16</v>
      </c>
    </row>
    <row r="6" spans="1:18">
      <c r="A6" s="381"/>
      <c r="B6" s="381"/>
      <c r="C6" s="4" t="s">
        <v>17</v>
      </c>
      <c r="D6" s="5">
        <v>40</v>
      </c>
      <c r="E6" s="4" t="s">
        <v>17</v>
      </c>
      <c r="F6" s="5">
        <v>40</v>
      </c>
      <c r="G6" s="4" t="s">
        <v>17</v>
      </c>
      <c r="H6" s="5">
        <v>40</v>
      </c>
      <c r="I6" s="4" t="s">
        <v>17</v>
      </c>
      <c r="J6" s="5">
        <v>40</v>
      </c>
      <c r="K6" s="4" t="s">
        <v>17</v>
      </c>
      <c r="L6" s="5">
        <v>40</v>
      </c>
      <c r="M6" s="4"/>
      <c r="N6" s="4" t="s">
        <v>17</v>
      </c>
      <c r="O6" s="5">
        <v>40</v>
      </c>
      <c r="P6" s="4" t="s">
        <v>17</v>
      </c>
      <c r="Q6" s="5">
        <v>600</v>
      </c>
      <c r="R6" s="381"/>
    </row>
    <row r="7" spans="1:18">
      <c r="A7" s="382"/>
      <c r="B7" s="382"/>
      <c r="C7" s="6" t="s">
        <v>18</v>
      </c>
      <c r="D7" s="6" t="s">
        <v>19</v>
      </c>
      <c r="E7" s="6" t="s">
        <v>18</v>
      </c>
      <c r="F7" s="6" t="s">
        <v>19</v>
      </c>
      <c r="G7" s="6" t="s">
        <v>18</v>
      </c>
      <c r="H7" s="6" t="s">
        <v>19</v>
      </c>
      <c r="I7" s="6" t="s">
        <v>18</v>
      </c>
      <c r="J7" s="6" t="s">
        <v>19</v>
      </c>
      <c r="K7" s="6" t="s">
        <v>18</v>
      </c>
      <c r="L7" s="6" t="s">
        <v>19</v>
      </c>
      <c r="M7" s="6"/>
      <c r="N7" s="6" t="s">
        <v>18</v>
      </c>
      <c r="O7" s="6" t="s">
        <v>19</v>
      </c>
      <c r="P7" s="6" t="s">
        <v>18</v>
      </c>
      <c r="Q7" s="6" t="s">
        <v>19</v>
      </c>
      <c r="R7" s="382"/>
    </row>
    <row r="8" spans="1:18" ht="15.75" customHeight="1">
      <c r="A8" s="7">
        <v>1</v>
      </c>
      <c r="B8" s="54" t="s">
        <v>90</v>
      </c>
      <c r="C8" s="55">
        <v>33</v>
      </c>
      <c r="D8" s="10">
        <f t="shared" ref="D8:D52" si="0">IF(C8="","",IF(C8="AB","AB",IF(C8="TC","TC",(C8/D$6)*100)))</f>
        <v>82.5</v>
      </c>
      <c r="E8" s="56">
        <v>30</v>
      </c>
      <c r="F8" s="12">
        <f t="shared" ref="F8:F52" si="1">IF(E8="","",IF(E8="AB",AB,IF(E8="TC","TC",(E8/F$6)*100)))</f>
        <v>75</v>
      </c>
      <c r="G8" s="13">
        <v>18</v>
      </c>
      <c r="H8" s="14">
        <f t="shared" ref="H8:H52" si="2">IF(G8="","",IF(G8="AB",AB,IF(G8="TC","TC",(G8/H$6)*100)))</f>
        <v>45</v>
      </c>
      <c r="I8" s="57">
        <v>19</v>
      </c>
      <c r="J8" s="15">
        <f t="shared" ref="J8:J52" si="3">IF(I8="","",IF(I8="AB",AB,IF(I8="TC","TC",(I8/J$6)*100)))</f>
        <v>47.5</v>
      </c>
      <c r="K8" s="58">
        <v>31</v>
      </c>
      <c r="L8" s="12">
        <f t="shared" ref="L8:L52" si="4">IF(K8="","",IF(K8="AB",AB,IF(K8="TC","TC",(K8/L$6)*100)))</f>
        <v>77.5</v>
      </c>
      <c r="M8" s="59"/>
      <c r="N8" s="59">
        <v>28</v>
      </c>
      <c r="O8" s="15">
        <f t="shared" ref="O8:O39" si="5">IF(N8="","",IF(N8="AB",AB,IF(N8="TC","TC",(N8/O$6)*100)))</f>
        <v>70</v>
      </c>
      <c r="P8" s="12">
        <f t="shared" ref="P8:P52" si="6">SUM(D8,F8,H8,J8,L8,O8)</f>
        <v>397.5</v>
      </c>
      <c r="Q8" s="17">
        <f t="shared" ref="Q8:Q57" si="7">IF(P8="","",IF(P8="AB","AB",(P8/Q$6)*100))</f>
        <v>66.25</v>
      </c>
      <c r="R8" s="22"/>
    </row>
    <row r="9" spans="1:18" ht="15.75" customHeight="1">
      <c r="A9" s="41">
        <v>2</v>
      </c>
      <c r="B9" s="54" t="s">
        <v>91</v>
      </c>
      <c r="C9" s="33">
        <v>39</v>
      </c>
      <c r="D9" s="10">
        <f t="shared" si="0"/>
        <v>97.5</v>
      </c>
      <c r="E9" s="60">
        <v>37</v>
      </c>
      <c r="F9" s="12">
        <f t="shared" si="1"/>
        <v>92.5</v>
      </c>
      <c r="G9" s="41">
        <v>39</v>
      </c>
      <c r="H9" s="14">
        <f t="shared" si="2"/>
        <v>97.5</v>
      </c>
      <c r="I9" s="61">
        <v>38</v>
      </c>
      <c r="J9" s="15">
        <f t="shared" si="3"/>
        <v>95</v>
      </c>
      <c r="K9" s="62">
        <v>38</v>
      </c>
      <c r="L9" s="12">
        <f t="shared" si="4"/>
        <v>95</v>
      </c>
      <c r="M9" s="46"/>
      <c r="N9" s="46">
        <v>38</v>
      </c>
      <c r="O9" s="15">
        <f t="shared" si="5"/>
        <v>95</v>
      </c>
      <c r="P9" s="12">
        <f t="shared" si="6"/>
        <v>572.5</v>
      </c>
      <c r="Q9" s="17">
        <f t="shared" si="7"/>
        <v>95.416666666666671</v>
      </c>
      <c r="R9" s="22"/>
    </row>
    <row r="10" spans="1:18" ht="15.75" customHeight="1">
      <c r="A10" s="41">
        <v>3</v>
      </c>
      <c r="B10" s="54" t="s">
        <v>92</v>
      </c>
      <c r="C10" s="33">
        <v>27</v>
      </c>
      <c r="D10" s="10">
        <f t="shared" si="0"/>
        <v>67.5</v>
      </c>
      <c r="E10" s="60">
        <v>26</v>
      </c>
      <c r="F10" s="12">
        <f t="shared" si="1"/>
        <v>65</v>
      </c>
      <c r="G10" s="41">
        <v>35</v>
      </c>
      <c r="H10" s="14">
        <f t="shared" si="2"/>
        <v>87.5</v>
      </c>
      <c r="I10" s="63">
        <v>25</v>
      </c>
      <c r="J10" s="15">
        <f t="shared" si="3"/>
        <v>62.5</v>
      </c>
      <c r="K10" s="62">
        <v>36</v>
      </c>
      <c r="L10" s="12">
        <f t="shared" si="4"/>
        <v>90</v>
      </c>
      <c r="M10" s="46"/>
      <c r="N10" s="46">
        <v>38</v>
      </c>
      <c r="O10" s="15">
        <f t="shared" si="5"/>
        <v>95</v>
      </c>
      <c r="P10" s="12">
        <f t="shared" si="6"/>
        <v>467.5</v>
      </c>
      <c r="Q10" s="17">
        <f t="shared" si="7"/>
        <v>77.916666666666671</v>
      </c>
      <c r="R10" s="22"/>
    </row>
    <row r="11" spans="1:18" ht="15.75" customHeight="1">
      <c r="A11" s="41">
        <v>4</v>
      </c>
      <c r="B11" s="54" t="s">
        <v>93</v>
      </c>
      <c r="C11" s="33">
        <v>23</v>
      </c>
      <c r="D11" s="10">
        <f t="shared" si="0"/>
        <v>57.499999999999993</v>
      </c>
      <c r="E11" s="60">
        <v>13</v>
      </c>
      <c r="F11" s="12">
        <f t="shared" si="1"/>
        <v>32.5</v>
      </c>
      <c r="G11" s="41">
        <v>25</v>
      </c>
      <c r="H11" s="14">
        <f t="shared" si="2"/>
        <v>62.5</v>
      </c>
      <c r="I11" s="63">
        <v>21</v>
      </c>
      <c r="J11" s="15">
        <f t="shared" si="3"/>
        <v>52.5</v>
      </c>
      <c r="K11" s="62">
        <v>10</v>
      </c>
      <c r="L11" s="12">
        <f t="shared" si="4"/>
        <v>25</v>
      </c>
      <c r="M11" s="46"/>
      <c r="N11" s="46">
        <v>15</v>
      </c>
      <c r="O11" s="64">
        <f t="shared" si="5"/>
        <v>37.5</v>
      </c>
      <c r="P11" s="12">
        <f t="shared" si="6"/>
        <v>267.5</v>
      </c>
      <c r="Q11" s="17">
        <f t="shared" si="7"/>
        <v>44.583333333333336</v>
      </c>
      <c r="R11" s="22"/>
    </row>
    <row r="12" spans="1:18" ht="15.75" customHeight="1">
      <c r="A12" s="41">
        <v>5</v>
      </c>
      <c r="B12" s="54" t="s">
        <v>94</v>
      </c>
      <c r="C12" s="33">
        <v>32</v>
      </c>
      <c r="D12" s="10">
        <f t="shared" si="0"/>
        <v>80</v>
      </c>
      <c r="E12" s="60">
        <v>21</v>
      </c>
      <c r="F12" s="12">
        <f t="shared" si="1"/>
        <v>52.5</v>
      </c>
      <c r="G12" s="41">
        <v>26</v>
      </c>
      <c r="H12" s="14">
        <f t="shared" si="2"/>
        <v>65</v>
      </c>
      <c r="I12" s="63">
        <v>21</v>
      </c>
      <c r="J12" s="15">
        <f t="shared" si="3"/>
        <v>52.5</v>
      </c>
      <c r="K12" s="62">
        <v>30</v>
      </c>
      <c r="L12" s="12">
        <f t="shared" si="4"/>
        <v>75</v>
      </c>
      <c r="M12" s="65"/>
      <c r="N12" s="65">
        <v>29</v>
      </c>
      <c r="O12" s="15">
        <f t="shared" si="5"/>
        <v>72.5</v>
      </c>
      <c r="P12" s="12">
        <f t="shared" si="6"/>
        <v>397.5</v>
      </c>
      <c r="Q12" s="17">
        <f t="shared" si="7"/>
        <v>66.25</v>
      </c>
      <c r="R12" s="22"/>
    </row>
    <row r="13" spans="1:18" ht="15.75" customHeight="1">
      <c r="A13" s="41">
        <v>6</v>
      </c>
      <c r="B13" s="54" t="s">
        <v>95</v>
      </c>
      <c r="C13" s="33">
        <v>37</v>
      </c>
      <c r="D13" s="10">
        <f t="shared" si="0"/>
        <v>92.5</v>
      </c>
      <c r="E13" s="60">
        <v>36</v>
      </c>
      <c r="F13" s="12">
        <f t="shared" si="1"/>
        <v>90</v>
      </c>
      <c r="G13" s="41">
        <v>39</v>
      </c>
      <c r="H13" s="14">
        <f t="shared" si="2"/>
        <v>97.5</v>
      </c>
      <c r="I13" s="63">
        <v>39</v>
      </c>
      <c r="J13" s="15">
        <f t="shared" si="3"/>
        <v>97.5</v>
      </c>
      <c r="K13" s="62">
        <v>39</v>
      </c>
      <c r="L13" s="12">
        <f t="shared" si="4"/>
        <v>97.5</v>
      </c>
      <c r="M13" s="46"/>
      <c r="N13" s="46">
        <v>39</v>
      </c>
      <c r="O13" s="15">
        <f t="shared" si="5"/>
        <v>97.5</v>
      </c>
      <c r="P13" s="12">
        <f t="shared" si="6"/>
        <v>572.5</v>
      </c>
      <c r="Q13" s="17">
        <f t="shared" si="7"/>
        <v>95.416666666666671</v>
      </c>
      <c r="R13" s="22"/>
    </row>
    <row r="14" spans="1:18" ht="15.75" customHeight="1">
      <c r="A14" s="41">
        <v>7</v>
      </c>
      <c r="B14" s="54" t="s">
        <v>96</v>
      </c>
      <c r="C14" s="33">
        <v>32</v>
      </c>
      <c r="D14" s="10">
        <f t="shared" si="0"/>
        <v>80</v>
      </c>
      <c r="E14" s="60">
        <v>20</v>
      </c>
      <c r="F14" s="12">
        <f t="shared" si="1"/>
        <v>50</v>
      </c>
      <c r="G14" s="41">
        <v>29</v>
      </c>
      <c r="H14" s="14">
        <f t="shared" si="2"/>
        <v>72.5</v>
      </c>
      <c r="I14" s="63">
        <v>26</v>
      </c>
      <c r="J14" s="15">
        <f t="shared" si="3"/>
        <v>65</v>
      </c>
      <c r="K14" s="66">
        <v>27</v>
      </c>
      <c r="L14" s="12">
        <f t="shared" si="4"/>
        <v>67.5</v>
      </c>
      <c r="M14" s="46"/>
      <c r="N14" s="46">
        <v>33</v>
      </c>
      <c r="O14" s="15">
        <f t="shared" si="5"/>
        <v>82.5</v>
      </c>
      <c r="P14" s="12">
        <f t="shared" si="6"/>
        <v>417.5</v>
      </c>
      <c r="Q14" s="17">
        <f t="shared" si="7"/>
        <v>69.583333333333329</v>
      </c>
      <c r="R14" s="22"/>
    </row>
    <row r="15" spans="1:18" ht="15.75" customHeight="1">
      <c r="A15" s="41">
        <v>8</v>
      </c>
      <c r="B15" s="54" t="s">
        <v>97</v>
      </c>
      <c r="C15" s="33">
        <v>34</v>
      </c>
      <c r="D15" s="10">
        <f t="shared" si="0"/>
        <v>85</v>
      </c>
      <c r="E15" s="60">
        <v>26</v>
      </c>
      <c r="F15" s="12">
        <f t="shared" si="1"/>
        <v>65</v>
      </c>
      <c r="G15" s="41">
        <v>38</v>
      </c>
      <c r="H15" s="14">
        <f t="shared" si="2"/>
        <v>95</v>
      </c>
      <c r="I15" s="63">
        <v>39</v>
      </c>
      <c r="J15" s="15">
        <f t="shared" si="3"/>
        <v>97.5</v>
      </c>
      <c r="K15" s="66">
        <v>34</v>
      </c>
      <c r="L15" s="12">
        <f t="shared" si="4"/>
        <v>85</v>
      </c>
      <c r="M15" s="46"/>
      <c r="N15" s="46">
        <v>35</v>
      </c>
      <c r="O15" s="15">
        <f t="shared" si="5"/>
        <v>87.5</v>
      </c>
      <c r="P15" s="12">
        <f t="shared" si="6"/>
        <v>515</v>
      </c>
      <c r="Q15" s="17">
        <f t="shared" si="7"/>
        <v>85.833333333333329</v>
      </c>
      <c r="R15" s="22"/>
    </row>
    <row r="16" spans="1:18" ht="15.75" customHeight="1">
      <c r="A16" s="41">
        <v>9</v>
      </c>
      <c r="B16" s="54" t="s">
        <v>98</v>
      </c>
      <c r="C16" s="33">
        <v>37</v>
      </c>
      <c r="D16" s="10">
        <f t="shared" si="0"/>
        <v>92.5</v>
      </c>
      <c r="E16" s="60">
        <v>24</v>
      </c>
      <c r="F16" s="12">
        <f t="shared" si="1"/>
        <v>60</v>
      </c>
      <c r="G16" s="13">
        <v>24</v>
      </c>
      <c r="H16" s="14">
        <f t="shared" si="2"/>
        <v>60</v>
      </c>
      <c r="I16" s="63">
        <v>30</v>
      </c>
      <c r="J16" s="15">
        <f t="shared" si="3"/>
        <v>75</v>
      </c>
      <c r="K16" s="62">
        <v>26</v>
      </c>
      <c r="L16" s="12">
        <f t="shared" si="4"/>
        <v>65</v>
      </c>
      <c r="M16" s="46"/>
      <c r="N16" s="46">
        <v>39</v>
      </c>
      <c r="O16" s="15">
        <f t="shared" si="5"/>
        <v>97.5</v>
      </c>
      <c r="P16" s="12">
        <f t="shared" si="6"/>
        <v>450</v>
      </c>
      <c r="Q16" s="17">
        <f t="shared" si="7"/>
        <v>75</v>
      </c>
      <c r="R16" s="22"/>
    </row>
    <row r="17" spans="1:18" ht="15.75" customHeight="1">
      <c r="A17" s="41">
        <v>10</v>
      </c>
      <c r="B17" s="54" t="s">
        <v>99</v>
      </c>
      <c r="C17" s="33">
        <v>30</v>
      </c>
      <c r="D17" s="10">
        <f t="shared" si="0"/>
        <v>75</v>
      </c>
      <c r="E17" s="60">
        <v>26</v>
      </c>
      <c r="F17" s="12">
        <f t="shared" si="1"/>
        <v>65</v>
      </c>
      <c r="G17" s="13">
        <v>28</v>
      </c>
      <c r="H17" s="14">
        <f t="shared" si="2"/>
        <v>70</v>
      </c>
      <c r="I17" s="63">
        <v>33</v>
      </c>
      <c r="J17" s="15">
        <f t="shared" si="3"/>
        <v>82.5</v>
      </c>
      <c r="K17" s="62">
        <v>34</v>
      </c>
      <c r="L17" s="12">
        <f t="shared" si="4"/>
        <v>85</v>
      </c>
      <c r="M17" s="46"/>
      <c r="N17" s="46">
        <v>34</v>
      </c>
      <c r="O17" s="15">
        <f t="shared" si="5"/>
        <v>85</v>
      </c>
      <c r="P17" s="12">
        <f t="shared" si="6"/>
        <v>462.5</v>
      </c>
      <c r="Q17" s="17">
        <f t="shared" si="7"/>
        <v>77.083333333333343</v>
      </c>
      <c r="R17" s="22"/>
    </row>
    <row r="18" spans="1:18" ht="15.75" customHeight="1">
      <c r="A18" s="41">
        <v>11</v>
      </c>
      <c r="B18" s="54" t="s">
        <v>100</v>
      </c>
      <c r="C18" s="33">
        <v>37</v>
      </c>
      <c r="D18" s="10">
        <f t="shared" si="0"/>
        <v>92.5</v>
      </c>
      <c r="E18" s="60">
        <v>32</v>
      </c>
      <c r="F18" s="12">
        <f t="shared" si="1"/>
        <v>80</v>
      </c>
      <c r="G18" s="13">
        <v>39</v>
      </c>
      <c r="H18" s="14">
        <f t="shared" si="2"/>
        <v>97.5</v>
      </c>
      <c r="I18" s="67">
        <v>38</v>
      </c>
      <c r="J18" s="15">
        <f t="shared" si="3"/>
        <v>95</v>
      </c>
      <c r="K18" s="62">
        <v>39</v>
      </c>
      <c r="L18" s="12">
        <f t="shared" si="4"/>
        <v>97.5</v>
      </c>
      <c r="M18" s="46"/>
      <c r="N18" s="46">
        <v>40</v>
      </c>
      <c r="O18" s="15">
        <f t="shared" si="5"/>
        <v>100</v>
      </c>
      <c r="P18" s="12">
        <f t="shared" si="6"/>
        <v>562.5</v>
      </c>
      <c r="Q18" s="17">
        <f t="shared" si="7"/>
        <v>93.75</v>
      </c>
      <c r="R18" s="22"/>
    </row>
    <row r="19" spans="1:18" ht="15.75" customHeight="1">
      <c r="A19" s="41">
        <v>12</v>
      </c>
      <c r="B19" s="54" t="s">
        <v>101</v>
      </c>
      <c r="C19" s="33">
        <v>34</v>
      </c>
      <c r="D19" s="10">
        <f t="shared" si="0"/>
        <v>85</v>
      </c>
      <c r="E19" s="60">
        <v>32</v>
      </c>
      <c r="F19" s="12">
        <f t="shared" si="1"/>
        <v>80</v>
      </c>
      <c r="G19" s="41">
        <v>32</v>
      </c>
      <c r="H19" s="14">
        <f t="shared" si="2"/>
        <v>80</v>
      </c>
      <c r="I19" s="63">
        <v>30</v>
      </c>
      <c r="J19" s="15">
        <f t="shared" si="3"/>
        <v>75</v>
      </c>
      <c r="K19" s="62">
        <v>21</v>
      </c>
      <c r="L19" s="12">
        <f t="shared" si="4"/>
        <v>52.5</v>
      </c>
      <c r="M19" s="46"/>
      <c r="N19" s="46">
        <v>35</v>
      </c>
      <c r="O19" s="15">
        <f t="shared" si="5"/>
        <v>87.5</v>
      </c>
      <c r="P19" s="12">
        <f t="shared" si="6"/>
        <v>460</v>
      </c>
      <c r="Q19" s="17">
        <f t="shared" si="7"/>
        <v>76.666666666666671</v>
      </c>
      <c r="R19" s="22"/>
    </row>
    <row r="20" spans="1:18" ht="15.75" customHeight="1">
      <c r="A20" s="41">
        <v>13</v>
      </c>
      <c r="B20" s="54" t="s">
        <v>102</v>
      </c>
      <c r="C20" s="33">
        <v>34</v>
      </c>
      <c r="D20" s="10">
        <f t="shared" si="0"/>
        <v>85</v>
      </c>
      <c r="E20" s="60">
        <v>28</v>
      </c>
      <c r="F20" s="12">
        <f t="shared" si="1"/>
        <v>70</v>
      </c>
      <c r="G20" s="41">
        <v>31</v>
      </c>
      <c r="H20" s="14">
        <f t="shared" si="2"/>
        <v>77.5</v>
      </c>
      <c r="I20" s="68">
        <v>32</v>
      </c>
      <c r="J20" s="15">
        <f t="shared" si="3"/>
        <v>80</v>
      </c>
      <c r="K20" s="62">
        <v>27</v>
      </c>
      <c r="L20" s="12">
        <f t="shared" si="4"/>
        <v>67.5</v>
      </c>
      <c r="M20" s="46"/>
      <c r="N20" s="46">
        <v>38</v>
      </c>
      <c r="O20" s="15">
        <f t="shared" si="5"/>
        <v>95</v>
      </c>
      <c r="P20" s="12">
        <f t="shared" si="6"/>
        <v>475</v>
      </c>
      <c r="Q20" s="17">
        <f t="shared" si="7"/>
        <v>79.166666666666657</v>
      </c>
      <c r="R20" s="22"/>
    </row>
    <row r="21" spans="1:18" ht="15.75" customHeight="1">
      <c r="A21" s="41">
        <v>14</v>
      </c>
      <c r="B21" s="54" t="s">
        <v>103</v>
      </c>
      <c r="C21" s="33">
        <v>26</v>
      </c>
      <c r="D21" s="10">
        <f t="shared" si="0"/>
        <v>65</v>
      </c>
      <c r="E21" s="60">
        <v>17</v>
      </c>
      <c r="F21" s="12">
        <f t="shared" si="1"/>
        <v>42.5</v>
      </c>
      <c r="G21" s="41">
        <v>18</v>
      </c>
      <c r="H21" s="14">
        <f t="shared" si="2"/>
        <v>45</v>
      </c>
      <c r="I21" s="63">
        <v>24</v>
      </c>
      <c r="J21" s="15">
        <f t="shared" si="3"/>
        <v>60</v>
      </c>
      <c r="K21" s="62">
        <v>24</v>
      </c>
      <c r="L21" s="12">
        <f t="shared" si="4"/>
        <v>60</v>
      </c>
      <c r="M21" s="46"/>
      <c r="N21" s="46">
        <v>23</v>
      </c>
      <c r="O21" s="15">
        <f t="shared" si="5"/>
        <v>57.499999999999993</v>
      </c>
      <c r="P21" s="12">
        <f t="shared" si="6"/>
        <v>330</v>
      </c>
      <c r="Q21" s="17">
        <f t="shared" si="7"/>
        <v>55.000000000000007</v>
      </c>
      <c r="R21" s="22"/>
    </row>
    <row r="22" spans="1:18" ht="15.75" customHeight="1">
      <c r="A22" s="41">
        <v>15</v>
      </c>
      <c r="B22" s="54" t="s">
        <v>104</v>
      </c>
      <c r="C22" s="33">
        <v>38</v>
      </c>
      <c r="D22" s="10">
        <f t="shared" si="0"/>
        <v>95</v>
      </c>
      <c r="E22" s="60">
        <v>36</v>
      </c>
      <c r="F22" s="12">
        <f t="shared" si="1"/>
        <v>90</v>
      </c>
      <c r="G22" s="41">
        <v>39</v>
      </c>
      <c r="H22" s="14">
        <f t="shared" si="2"/>
        <v>97.5</v>
      </c>
      <c r="I22" s="63">
        <v>36</v>
      </c>
      <c r="J22" s="15">
        <f t="shared" si="3"/>
        <v>90</v>
      </c>
      <c r="K22" s="62">
        <v>38</v>
      </c>
      <c r="L22" s="12">
        <f t="shared" si="4"/>
        <v>95</v>
      </c>
      <c r="M22" s="46"/>
      <c r="N22" s="46">
        <v>39</v>
      </c>
      <c r="O22" s="15">
        <f t="shared" si="5"/>
        <v>97.5</v>
      </c>
      <c r="P22" s="12">
        <f t="shared" si="6"/>
        <v>565</v>
      </c>
      <c r="Q22" s="17">
        <f t="shared" si="7"/>
        <v>94.166666666666671</v>
      </c>
      <c r="R22" s="22"/>
    </row>
    <row r="23" spans="1:18" ht="15.75" customHeight="1">
      <c r="A23" s="41">
        <v>16</v>
      </c>
      <c r="B23" s="54" t="s">
        <v>105</v>
      </c>
      <c r="C23" s="33">
        <v>34</v>
      </c>
      <c r="D23" s="69">
        <f t="shared" si="0"/>
        <v>85</v>
      </c>
      <c r="E23" s="60">
        <v>21</v>
      </c>
      <c r="F23" s="12">
        <f t="shared" si="1"/>
        <v>52.5</v>
      </c>
      <c r="G23" s="41">
        <v>33</v>
      </c>
      <c r="H23" s="14">
        <f t="shared" si="2"/>
        <v>82.5</v>
      </c>
      <c r="I23" s="63">
        <v>32</v>
      </c>
      <c r="J23" s="15">
        <f t="shared" si="3"/>
        <v>80</v>
      </c>
      <c r="K23" s="62">
        <v>33</v>
      </c>
      <c r="L23" s="12">
        <f t="shared" si="4"/>
        <v>82.5</v>
      </c>
      <c r="M23" s="46"/>
      <c r="N23" s="46">
        <v>38</v>
      </c>
      <c r="O23" s="15">
        <f t="shared" si="5"/>
        <v>95</v>
      </c>
      <c r="P23" s="12">
        <f t="shared" si="6"/>
        <v>477.5</v>
      </c>
      <c r="Q23" s="17">
        <f t="shared" si="7"/>
        <v>79.583333333333329</v>
      </c>
      <c r="R23" s="22"/>
    </row>
    <row r="24" spans="1:18" ht="15.75" customHeight="1">
      <c r="A24" s="41">
        <v>17</v>
      </c>
      <c r="B24" s="54" t="s">
        <v>106</v>
      </c>
      <c r="C24" s="33">
        <v>28</v>
      </c>
      <c r="D24" s="10">
        <f t="shared" si="0"/>
        <v>70</v>
      </c>
      <c r="E24" s="60">
        <v>23</v>
      </c>
      <c r="F24" s="12">
        <f t="shared" si="1"/>
        <v>57.499999999999993</v>
      </c>
      <c r="G24" s="41">
        <v>25</v>
      </c>
      <c r="H24" s="14">
        <f t="shared" si="2"/>
        <v>62.5</v>
      </c>
      <c r="I24" s="63">
        <v>27</v>
      </c>
      <c r="J24" s="15">
        <f t="shared" si="3"/>
        <v>67.5</v>
      </c>
      <c r="K24" s="66">
        <v>28</v>
      </c>
      <c r="L24" s="12">
        <f t="shared" si="4"/>
        <v>70</v>
      </c>
      <c r="M24" s="46"/>
      <c r="N24" s="46">
        <v>26</v>
      </c>
      <c r="O24" s="15">
        <f t="shared" si="5"/>
        <v>65</v>
      </c>
      <c r="P24" s="12">
        <f t="shared" si="6"/>
        <v>392.5</v>
      </c>
      <c r="Q24" s="17">
        <f t="shared" si="7"/>
        <v>65.416666666666671</v>
      </c>
      <c r="R24" s="22"/>
    </row>
    <row r="25" spans="1:18" ht="15.75" customHeight="1">
      <c r="A25" s="41">
        <v>18</v>
      </c>
      <c r="B25" s="54" t="s">
        <v>107</v>
      </c>
      <c r="C25" s="33">
        <v>21</v>
      </c>
      <c r="D25" s="10">
        <f t="shared" si="0"/>
        <v>52.5</v>
      </c>
      <c r="E25" s="60">
        <v>13</v>
      </c>
      <c r="F25" s="70">
        <f t="shared" si="1"/>
        <v>32.5</v>
      </c>
      <c r="G25" s="41">
        <v>25</v>
      </c>
      <c r="H25" s="14">
        <f t="shared" si="2"/>
        <v>62.5</v>
      </c>
      <c r="I25" s="63">
        <v>24</v>
      </c>
      <c r="J25" s="15">
        <f t="shared" si="3"/>
        <v>60</v>
      </c>
      <c r="K25" s="66">
        <v>15</v>
      </c>
      <c r="L25" s="12">
        <f t="shared" si="4"/>
        <v>37.5</v>
      </c>
      <c r="M25" s="46"/>
      <c r="N25" s="46">
        <v>26</v>
      </c>
      <c r="O25" s="15">
        <f t="shared" si="5"/>
        <v>65</v>
      </c>
      <c r="P25" s="12">
        <f t="shared" si="6"/>
        <v>310</v>
      </c>
      <c r="Q25" s="17">
        <f t="shared" si="7"/>
        <v>51.666666666666671</v>
      </c>
      <c r="R25" s="22"/>
    </row>
    <row r="26" spans="1:18" ht="15.75" customHeight="1">
      <c r="A26" s="41">
        <v>19</v>
      </c>
      <c r="B26" s="54" t="s">
        <v>108</v>
      </c>
      <c r="C26" s="33">
        <v>34</v>
      </c>
      <c r="D26" s="10">
        <f t="shared" si="0"/>
        <v>85</v>
      </c>
      <c r="E26" s="60">
        <v>26</v>
      </c>
      <c r="F26" s="12">
        <f t="shared" si="1"/>
        <v>65</v>
      </c>
      <c r="G26" s="41">
        <v>32</v>
      </c>
      <c r="H26" s="14">
        <f t="shared" si="2"/>
        <v>80</v>
      </c>
      <c r="I26" s="63">
        <v>37</v>
      </c>
      <c r="J26" s="15">
        <f t="shared" si="3"/>
        <v>92.5</v>
      </c>
      <c r="K26" s="62">
        <v>36</v>
      </c>
      <c r="L26" s="12">
        <f t="shared" si="4"/>
        <v>90</v>
      </c>
      <c r="M26" s="46"/>
      <c r="N26" s="46">
        <v>33</v>
      </c>
      <c r="O26" s="15">
        <f t="shared" si="5"/>
        <v>82.5</v>
      </c>
      <c r="P26" s="12">
        <f t="shared" si="6"/>
        <v>495</v>
      </c>
      <c r="Q26" s="17">
        <f t="shared" si="7"/>
        <v>82.5</v>
      </c>
      <c r="R26" s="22"/>
    </row>
    <row r="27" spans="1:18" ht="18">
      <c r="A27" s="41">
        <v>20</v>
      </c>
      <c r="B27" s="54" t="s">
        <v>109</v>
      </c>
      <c r="C27" s="33">
        <v>35</v>
      </c>
      <c r="D27" s="10">
        <f t="shared" si="0"/>
        <v>87.5</v>
      </c>
      <c r="E27" s="60">
        <v>21</v>
      </c>
      <c r="F27" s="12">
        <f t="shared" si="1"/>
        <v>52.5</v>
      </c>
      <c r="G27" s="41">
        <v>29</v>
      </c>
      <c r="H27" s="14">
        <f t="shared" si="2"/>
        <v>72.5</v>
      </c>
      <c r="I27" s="63">
        <v>34</v>
      </c>
      <c r="J27" s="15">
        <f t="shared" si="3"/>
        <v>85</v>
      </c>
      <c r="K27" s="62">
        <v>26</v>
      </c>
      <c r="L27" s="12">
        <f t="shared" si="4"/>
        <v>65</v>
      </c>
      <c r="M27" s="46"/>
      <c r="N27" s="46">
        <v>32</v>
      </c>
      <c r="O27" s="15">
        <f t="shared" si="5"/>
        <v>80</v>
      </c>
      <c r="P27" s="12">
        <f t="shared" si="6"/>
        <v>442.5</v>
      </c>
      <c r="Q27" s="17">
        <f t="shared" si="7"/>
        <v>73.75</v>
      </c>
      <c r="R27" s="22"/>
    </row>
    <row r="28" spans="1:18" ht="18">
      <c r="A28" s="41">
        <v>21</v>
      </c>
      <c r="B28" s="54" t="s">
        <v>110</v>
      </c>
      <c r="C28" s="33">
        <v>34</v>
      </c>
      <c r="D28" s="10">
        <f t="shared" si="0"/>
        <v>85</v>
      </c>
      <c r="E28" s="60">
        <v>17</v>
      </c>
      <c r="F28" s="12">
        <f t="shared" si="1"/>
        <v>42.5</v>
      </c>
      <c r="G28" s="41">
        <v>23</v>
      </c>
      <c r="H28" s="14">
        <f t="shared" si="2"/>
        <v>57.499999999999993</v>
      </c>
      <c r="I28" s="63">
        <v>28</v>
      </c>
      <c r="J28" s="15">
        <f t="shared" si="3"/>
        <v>70</v>
      </c>
      <c r="K28" s="66">
        <v>22</v>
      </c>
      <c r="L28" s="12">
        <f t="shared" si="4"/>
        <v>55.000000000000007</v>
      </c>
      <c r="M28" s="65"/>
      <c r="N28" s="65">
        <v>31</v>
      </c>
      <c r="O28" s="15">
        <f t="shared" si="5"/>
        <v>77.5</v>
      </c>
      <c r="P28" s="12">
        <f t="shared" si="6"/>
        <v>387.5</v>
      </c>
      <c r="Q28" s="17">
        <f t="shared" si="7"/>
        <v>64.583333333333343</v>
      </c>
      <c r="R28" s="22"/>
    </row>
    <row r="29" spans="1:18" ht="18">
      <c r="A29" s="41">
        <v>22</v>
      </c>
      <c r="B29" s="54" t="s">
        <v>111</v>
      </c>
      <c r="C29" s="33">
        <v>38</v>
      </c>
      <c r="D29" s="10">
        <f t="shared" si="0"/>
        <v>95</v>
      </c>
      <c r="E29" s="60">
        <v>35</v>
      </c>
      <c r="F29" s="12">
        <f t="shared" si="1"/>
        <v>87.5</v>
      </c>
      <c r="G29" s="41">
        <v>36</v>
      </c>
      <c r="H29" s="14">
        <f t="shared" si="2"/>
        <v>90</v>
      </c>
      <c r="I29" s="63">
        <v>40</v>
      </c>
      <c r="J29" s="15">
        <f t="shared" si="3"/>
        <v>100</v>
      </c>
      <c r="K29" s="62">
        <v>37</v>
      </c>
      <c r="L29" s="12">
        <f t="shared" si="4"/>
        <v>92.5</v>
      </c>
      <c r="M29" s="65"/>
      <c r="N29" s="65">
        <v>39</v>
      </c>
      <c r="O29" s="15">
        <f t="shared" si="5"/>
        <v>97.5</v>
      </c>
      <c r="P29" s="12">
        <f t="shared" si="6"/>
        <v>562.5</v>
      </c>
      <c r="Q29" s="17">
        <f t="shared" si="7"/>
        <v>93.75</v>
      </c>
      <c r="R29" s="22"/>
    </row>
    <row r="30" spans="1:18" ht="18">
      <c r="A30" s="41">
        <v>23</v>
      </c>
      <c r="B30" s="54" t="s">
        <v>112</v>
      </c>
      <c r="C30" s="33">
        <v>18</v>
      </c>
      <c r="D30" s="10">
        <f t="shared" si="0"/>
        <v>45</v>
      </c>
      <c r="E30" s="60">
        <v>30</v>
      </c>
      <c r="F30" s="12">
        <f t="shared" si="1"/>
        <v>75</v>
      </c>
      <c r="G30" s="41">
        <v>14</v>
      </c>
      <c r="H30" s="14">
        <f t="shared" si="2"/>
        <v>35</v>
      </c>
      <c r="I30" s="63">
        <v>39</v>
      </c>
      <c r="J30" s="15">
        <f t="shared" si="3"/>
        <v>97.5</v>
      </c>
      <c r="K30" s="66">
        <v>19</v>
      </c>
      <c r="L30" s="12">
        <f t="shared" si="4"/>
        <v>47.5</v>
      </c>
      <c r="M30" s="46"/>
      <c r="N30" s="46">
        <v>15</v>
      </c>
      <c r="O30" s="15">
        <f t="shared" si="5"/>
        <v>37.5</v>
      </c>
      <c r="P30" s="12">
        <f t="shared" si="6"/>
        <v>337.5</v>
      </c>
      <c r="Q30" s="17">
        <f t="shared" si="7"/>
        <v>56.25</v>
      </c>
      <c r="R30" s="22"/>
    </row>
    <row r="31" spans="1:18" ht="18">
      <c r="A31" s="41">
        <v>24</v>
      </c>
      <c r="B31" s="54" t="s">
        <v>113</v>
      </c>
      <c r="C31" s="33">
        <v>34</v>
      </c>
      <c r="D31" s="10">
        <f t="shared" si="0"/>
        <v>85</v>
      </c>
      <c r="E31" s="60">
        <v>34</v>
      </c>
      <c r="F31" s="12">
        <f t="shared" si="1"/>
        <v>85</v>
      </c>
      <c r="G31" s="14">
        <v>37</v>
      </c>
      <c r="H31" s="14">
        <f t="shared" si="2"/>
        <v>92.5</v>
      </c>
      <c r="I31" s="63">
        <v>35</v>
      </c>
      <c r="J31" s="15">
        <f t="shared" si="3"/>
        <v>87.5</v>
      </c>
      <c r="K31" s="62">
        <v>36</v>
      </c>
      <c r="L31" s="12">
        <f t="shared" si="4"/>
        <v>90</v>
      </c>
      <c r="M31" s="46"/>
      <c r="N31" s="46">
        <v>38</v>
      </c>
      <c r="O31" s="15">
        <f t="shared" si="5"/>
        <v>95</v>
      </c>
      <c r="P31" s="12">
        <f t="shared" si="6"/>
        <v>535</v>
      </c>
      <c r="Q31" s="17">
        <f t="shared" si="7"/>
        <v>89.166666666666671</v>
      </c>
      <c r="R31" s="22"/>
    </row>
    <row r="32" spans="1:18" ht="18">
      <c r="A32" s="41">
        <v>25</v>
      </c>
      <c r="B32" s="54" t="s">
        <v>114</v>
      </c>
      <c r="C32" s="33">
        <v>33</v>
      </c>
      <c r="D32" s="10">
        <f t="shared" si="0"/>
        <v>82.5</v>
      </c>
      <c r="E32" s="60">
        <v>29</v>
      </c>
      <c r="F32" s="12">
        <f t="shared" si="1"/>
        <v>72.5</v>
      </c>
      <c r="G32" s="41">
        <v>19</v>
      </c>
      <c r="H32" s="14">
        <f t="shared" si="2"/>
        <v>47.5</v>
      </c>
      <c r="I32" s="67">
        <v>31</v>
      </c>
      <c r="J32" s="15">
        <f t="shared" si="3"/>
        <v>77.5</v>
      </c>
      <c r="K32" s="66">
        <v>19</v>
      </c>
      <c r="L32" s="12">
        <f t="shared" si="4"/>
        <v>47.5</v>
      </c>
      <c r="M32" s="46"/>
      <c r="N32" s="46">
        <v>37</v>
      </c>
      <c r="O32" s="15">
        <f t="shared" si="5"/>
        <v>92.5</v>
      </c>
      <c r="P32" s="12">
        <f t="shared" si="6"/>
        <v>420</v>
      </c>
      <c r="Q32" s="17">
        <f t="shared" si="7"/>
        <v>70</v>
      </c>
      <c r="R32" s="22"/>
    </row>
    <row r="33" spans="1:18" ht="18">
      <c r="A33" s="41">
        <v>26</v>
      </c>
      <c r="B33" s="54" t="s">
        <v>115</v>
      </c>
      <c r="C33" s="33">
        <v>34</v>
      </c>
      <c r="D33" s="10">
        <f t="shared" si="0"/>
        <v>85</v>
      </c>
      <c r="E33" s="60">
        <v>32</v>
      </c>
      <c r="F33" s="12">
        <f t="shared" si="1"/>
        <v>80</v>
      </c>
      <c r="G33" s="71">
        <v>23</v>
      </c>
      <c r="H33" s="14">
        <f t="shared" si="2"/>
        <v>57.499999999999993</v>
      </c>
      <c r="I33" s="67">
        <v>35</v>
      </c>
      <c r="J33" s="15">
        <f t="shared" si="3"/>
        <v>87.5</v>
      </c>
      <c r="K33" s="62">
        <v>36</v>
      </c>
      <c r="L33" s="12">
        <f t="shared" si="4"/>
        <v>90</v>
      </c>
      <c r="M33" s="46"/>
      <c r="N33" s="46">
        <v>29</v>
      </c>
      <c r="O33" s="15">
        <f t="shared" si="5"/>
        <v>72.5</v>
      </c>
      <c r="P33" s="12">
        <f t="shared" si="6"/>
        <v>472.5</v>
      </c>
      <c r="Q33" s="17">
        <f t="shared" si="7"/>
        <v>78.75</v>
      </c>
      <c r="R33" s="22"/>
    </row>
    <row r="34" spans="1:18" ht="18">
      <c r="A34" s="41">
        <v>27</v>
      </c>
      <c r="B34" s="54" t="s">
        <v>116</v>
      </c>
      <c r="C34" s="33">
        <v>22</v>
      </c>
      <c r="D34" s="10">
        <f t="shared" si="0"/>
        <v>55.000000000000007</v>
      </c>
      <c r="E34" s="60">
        <v>28</v>
      </c>
      <c r="F34" s="70">
        <f t="shared" si="1"/>
        <v>70</v>
      </c>
      <c r="G34" s="72">
        <v>18</v>
      </c>
      <c r="H34" s="14">
        <f t="shared" si="2"/>
        <v>45</v>
      </c>
      <c r="I34" s="63">
        <v>30</v>
      </c>
      <c r="J34" s="15">
        <f t="shared" si="3"/>
        <v>75</v>
      </c>
      <c r="K34" s="66">
        <v>19</v>
      </c>
      <c r="L34" s="12">
        <f t="shared" si="4"/>
        <v>47.5</v>
      </c>
      <c r="M34" s="46"/>
      <c r="N34" s="46">
        <v>17</v>
      </c>
      <c r="O34" s="64">
        <f t="shared" si="5"/>
        <v>42.5</v>
      </c>
      <c r="P34" s="12">
        <f t="shared" si="6"/>
        <v>335</v>
      </c>
      <c r="Q34" s="17">
        <f t="shared" si="7"/>
        <v>55.833333333333336</v>
      </c>
      <c r="R34" s="22"/>
    </row>
    <row r="35" spans="1:18" ht="18">
      <c r="A35" s="41">
        <v>28</v>
      </c>
      <c r="B35" s="54" t="s">
        <v>117</v>
      </c>
      <c r="C35" s="33">
        <v>32</v>
      </c>
      <c r="D35" s="10">
        <f t="shared" si="0"/>
        <v>80</v>
      </c>
      <c r="E35" s="60">
        <v>14</v>
      </c>
      <c r="F35" s="12">
        <f t="shared" si="1"/>
        <v>35</v>
      </c>
      <c r="G35" s="72">
        <v>21</v>
      </c>
      <c r="H35" s="14">
        <f t="shared" si="2"/>
        <v>52.5</v>
      </c>
      <c r="I35" s="73">
        <v>31</v>
      </c>
      <c r="J35" s="15">
        <f t="shared" si="3"/>
        <v>77.5</v>
      </c>
      <c r="K35" s="66">
        <v>36</v>
      </c>
      <c r="L35" s="12">
        <f t="shared" si="4"/>
        <v>90</v>
      </c>
      <c r="M35" s="46"/>
      <c r="N35" s="46">
        <v>28</v>
      </c>
      <c r="O35" s="15">
        <f t="shared" si="5"/>
        <v>70</v>
      </c>
      <c r="P35" s="12">
        <f t="shared" si="6"/>
        <v>405</v>
      </c>
      <c r="Q35" s="17">
        <f t="shared" si="7"/>
        <v>67.5</v>
      </c>
      <c r="R35" s="22"/>
    </row>
    <row r="36" spans="1:18" ht="18">
      <c r="A36" s="41">
        <v>29</v>
      </c>
      <c r="B36" s="54" t="s">
        <v>118</v>
      </c>
      <c r="C36" s="33">
        <v>37</v>
      </c>
      <c r="D36" s="10">
        <f t="shared" si="0"/>
        <v>92.5</v>
      </c>
      <c r="E36" s="60">
        <v>24</v>
      </c>
      <c r="F36" s="12">
        <f t="shared" si="1"/>
        <v>60</v>
      </c>
      <c r="G36" s="72">
        <v>35</v>
      </c>
      <c r="H36" s="14">
        <f t="shared" si="2"/>
        <v>87.5</v>
      </c>
      <c r="I36" s="63">
        <v>33</v>
      </c>
      <c r="J36" s="15">
        <f t="shared" si="3"/>
        <v>82.5</v>
      </c>
      <c r="K36" s="66">
        <v>35</v>
      </c>
      <c r="L36" s="12">
        <f t="shared" si="4"/>
        <v>87.5</v>
      </c>
      <c r="M36" s="46"/>
      <c r="N36" s="46">
        <v>35</v>
      </c>
      <c r="O36" s="15">
        <f t="shared" si="5"/>
        <v>87.5</v>
      </c>
      <c r="P36" s="12">
        <f t="shared" si="6"/>
        <v>497.5</v>
      </c>
      <c r="Q36" s="17">
        <f t="shared" si="7"/>
        <v>82.916666666666671</v>
      </c>
      <c r="R36" s="22"/>
    </row>
    <row r="37" spans="1:18" ht="18">
      <c r="A37" s="41">
        <v>30</v>
      </c>
      <c r="B37" s="54" t="s">
        <v>119</v>
      </c>
      <c r="C37" s="33">
        <v>18</v>
      </c>
      <c r="D37" s="10">
        <f t="shared" si="0"/>
        <v>45</v>
      </c>
      <c r="E37" s="60">
        <v>13</v>
      </c>
      <c r="F37" s="70">
        <f t="shared" si="1"/>
        <v>32.5</v>
      </c>
      <c r="G37" s="72">
        <v>8</v>
      </c>
      <c r="H37" s="14">
        <f t="shared" si="2"/>
        <v>20</v>
      </c>
      <c r="I37" s="63">
        <v>9</v>
      </c>
      <c r="J37" s="15">
        <f t="shared" si="3"/>
        <v>22.5</v>
      </c>
      <c r="K37" s="66">
        <v>32</v>
      </c>
      <c r="L37" s="12">
        <f t="shared" si="4"/>
        <v>80</v>
      </c>
      <c r="M37" s="46"/>
      <c r="N37" s="46">
        <v>18</v>
      </c>
      <c r="O37" s="15">
        <f t="shared" si="5"/>
        <v>45</v>
      </c>
      <c r="P37" s="12">
        <f t="shared" si="6"/>
        <v>245</v>
      </c>
      <c r="Q37" s="17">
        <f t="shared" si="7"/>
        <v>40.833333333333336</v>
      </c>
      <c r="R37" s="22"/>
    </row>
    <row r="38" spans="1:18" ht="18">
      <c r="A38" s="41">
        <v>31</v>
      </c>
      <c r="B38" s="54" t="s">
        <v>120</v>
      </c>
      <c r="C38" s="33">
        <v>27</v>
      </c>
      <c r="D38" s="10">
        <f t="shared" si="0"/>
        <v>67.5</v>
      </c>
      <c r="E38" s="60">
        <v>29</v>
      </c>
      <c r="F38" s="12">
        <f t="shared" si="1"/>
        <v>72.5</v>
      </c>
      <c r="G38" s="72">
        <v>16</v>
      </c>
      <c r="H38" s="14">
        <f t="shared" si="2"/>
        <v>40</v>
      </c>
      <c r="I38" s="63">
        <v>23</v>
      </c>
      <c r="J38" s="15">
        <f t="shared" si="3"/>
        <v>57.499999999999993</v>
      </c>
      <c r="K38" s="66">
        <v>25</v>
      </c>
      <c r="L38" s="12">
        <f t="shared" si="4"/>
        <v>62.5</v>
      </c>
      <c r="M38" s="46"/>
      <c r="N38" s="46">
        <v>28</v>
      </c>
      <c r="O38" s="15">
        <f t="shared" si="5"/>
        <v>70</v>
      </c>
      <c r="P38" s="12">
        <f t="shared" si="6"/>
        <v>370</v>
      </c>
      <c r="Q38" s="17">
        <f t="shared" si="7"/>
        <v>61.666666666666671</v>
      </c>
      <c r="R38" s="22"/>
    </row>
    <row r="39" spans="1:18" ht="18">
      <c r="A39" s="41">
        <v>32</v>
      </c>
      <c r="B39" s="54" t="s">
        <v>121</v>
      </c>
      <c r="C39" s="33">
        <v>32</v>
      </c>
      <c r="D39" s="10">
        <f t="shared" si="0"/>
        <v>80</v>
      </c>
      <c r="E39" s="60">
        <v>27</v>
      </c>
      <c r="F39" s="12">
        <f t="shared" si="1"/>
        <v>67.5</v>
      </c>
      <c r="G39" s="72">
        <v>35</v>
      </c>
      <c r="H39" s="14">
        <f t="shared" si="2"/>
        <v>87.5</v>
      </c>
      <c r="I39" s="63">
        <v>39</v>
      </c>
      <c r="J39" s="15">
        <f t="shared" si="3"/>
        <v>97.5</v>
      </c>
      <c r="K39" s="66">
        <v>27</v>
      </c>
      <c r="L39" s="12">
        <f t="shared" si="4"/>
        <v>67.5</v>
      </c>
      <c r="M39" s="46"/>
      <c r="N39" s="46">
        <v>32</v>
      </c>
      <c r="O39" s="15">
        <f t="shared" si="5"/>
        <v>80</v>
      </c>
      <c r="P39" s="12">
        <f t="shared" si="6"/>
        <v>480</v>
      </c>
      <c r="Q39" s="17">
        <f t="shared" si="7"/>
        <v>80</v>
      </c>
      <c r="R39" s="22"/>
    </row>
    <row r="40" spans="1:18" ht="18">
      <c r="A40" s="41">
        <v>33</v>
      </c>
      <c r="B40" s="54" t="s">
        <v>122</v>
      </c>
      <c r="C40" s="33">
        <v>27</v>
      </c>
      <c r="D40" s="10">
        <f t="shared" si="0"/>
        <v>67.5</v>
      </c>
      <c r="E40" s="60">
        <v>26</v>
      </c>
      <c r="F40" s="70">
        <f t="shared" si="1"/>
        <v>65</v>
      </c>
      <c r="G40" s="72">
        <v>15</v>
      </c>
      <c r="H40" s="14">
        <f t="shared" si="2"/>
        <v>37.5</v>
      </c>
      <c r="I40" s="63">
        <v>38</v>
      </c>
      <c r="J40" s="15">
        <f t="shared" si="3"/>
        <v>95</v>
      </c>
      <c r="K40" s="66">
        <v>25</v>
      </c>
      <c r="L40" s="12">
        <f t="shared" si="4"/>
        <v>62.5</v>
      </c>
      <c r="M40" s="46"/>
      <c r="N40" s="46" t="s">
        <v>123</v>
      </c>
      <c r="O40" s="15">
        <v>17</v>
      </c>
      <c r="P40" s="12">
        <f t="shared" si="6"/>
        <v>344.5</v>
      </c>
      <c r="Q40" s="17">
        <f t="shared" si="7"/>
        <v>57.416666666666671</v>
      </c>
      <c r="R40" s="22"/>
    </row>
    <row r="41" spans="1:18" ht="18">
      <c r="A41" s="41">
        <v>34</v>
      </c>
      <c r="B41" s="54" t="s">
        <v>124</v>
      </c>
      <c r="C41" s="74">
        <v>13</v>
      </c>
      <c r="D41" s="75">
        <f t="shared" si="0"/>
        <v>32.5</v>
      </c>
      <c r="E41" s="60">
        <v>14</v>
      </c>
      <c r="F41" s="70">
        <f t="shared" si="1"/>
        <v>35</v>
      </c>
      <c r="G41" s="72">
        <v>16</v>
      </c>
      <c r="H41" s="14">
        <f t="shared" si="2"/>
        <v>40</v>
      </c>
      <c r="I41" s="67">
        <v>12</v>
      </c>
      <c r="J41" s="15">
        <f t="shared" si="3"/>
        <v>30</v>
      </c>
      <c r="K41" s="66">
        <v>15</v>
      </c>
      <c r="L41" s="12">
        <f t="shared" si="4"/>
        <v>37.5</v>
      </c>
      <c r="M41" s="46"/>
      <c r="N41" s="46">
        <v>25</v>
      </c>
      <c r="O41" s="15">
        <f t="shared" ref="O41:O43" si="8">IF(N41="","",IF(N41="AB",AB,IF(N41="TC","TC",(N41/O$6)*100)))</f>
        <v>62.5</v>
      </c>
      <c r="P41" s="12">
        <f t="shared" si="6"/>
        <v>237.5</v>
      </c>
      <c r="Q41" s="17">
        <f t="shared" si="7"/>
        <v>39.583333333333329</v>
      </c>
      <c r="R41" s="22"/>
    </row>
    <row r="42" spans="1:18" ht="18">
      <c r="A42" s="41">
        <v>35</v>
      </c>
      <c r="B42" s="54" t="s">
        <v>125</v>
      </c>
      <c r="C42" s="20">
        <v>22</v>
      </c>
      <c r="D42" s="10">
        <f t="shared" si="0"/>
        <v>55.000000000000007</v>
      </c>
      <c r="E42" s="60">
        <v>8</v>
      </c>
      <c r="F42" s="70">
        <f t="shared" si="1"/>
        <v>20</v>
      </c>
      <c r="G42" s="76">
        <v>24</v>
      </c>
      <c r="H42" s="14">
        <f t="shared" si="2"/>
        <v>60</v>
      </c>
      <c r="I42" s="67">
        <v>14</v>
      </c>
      <c r="J42" s="15">
        <f t="shared" si="3"/>
        <v>35</v>
      </c>
      <c r="K42" s="66">
        <v>11</v>
      </c>
      <c r="L42" s="12">
        <f t="shared" si="4"/>
        <v>27.500000000000004</v>
      </c>
      <c r="M42" s="46"/>
      <c r="N42" s="46">
        <v>23</v>
      </c>
      <c r="O42" s="15">
        <f t="shared" si="8"/>
        <v>57.499999999999993</v>
      </c>
      <c r="P42" s="12">
        <f t="shared" si="6"/>
        <v>255</v>
      </c>
      <c r="Q42" s="17">
        <f t="shared" si="7"/>
        <v>42.5</v>
      </c>
      <c r="R42" s="22"/>
    </row>
    <row r="43" spans="1:18" ht="18">
      <c r="A43" s="41">
        <v>36</v>
      </c>
      <c r="B43" s="54" t="s">
        <v>126</v>
      </c>
      <c r="C43" s="33">
        <v>26</v>
      </c>
      <c r="D43" s="10">
        <f t="shared" si="0"/>
        <v>65</v>
      </c>
      <c r="E43" s="60">
        <v>16</v>
      </c>
      <c r="F43" s="12">
        <f t="shared" si="1"/>
        <v>40</v>
      </c>
      <c r="G43" s="72">
        <v>33</v>
      </c>
      <c r="H43" s="14">
        <f t="shared" si="2"/>
        <v>82.5</v>
      </c>
      <c r="I43" s="63">
        <v>17</v>
      </c>
      <c r="J43" s="15">
        <f t="shared" si="3"/>
        <v>42.5</v>
      </c>
      <c r="K43" s="66">
        <v>25</v>
      </c>
      <c r="L43" s="12">
        <f t="shared" si="4"/>
        <v>62.5</v>
      </c>
      <c r="M43" s="46"/>
      <c r="N43" s="46">
        <v>30</v>
      </c>
      <c r="O43" s="15">
        <f t="shared" si="8"/>
        <v>75</v>
      </c>
      <c r="P43" s="12">
        <f t="shared" si="6"/>
        <v>367.5</v>
      </c>
      <c r="Q43" s="17">
        <f t="shared" si="7"/>
        <v>61.250000000000007</v>
      </c>
      <c r="R43" s="22"/>
    </row>
    <row r="44" spans="1:18" ht="18">
      <c r="A44" s="41">
        <v>37</v>
      </c>
      <c r="B44" s="54" t="s">
        <v>127</v>
      </c>
      <c r="C44" s="33">
        <v>30</v>
      </c>
      <c r="D44" s="10">
        <f t="shared" si="0"/>
        <v>75</v>
      </c>
      <c r="E44" s="60">
        <v>10</v>
      </c>
      <c r="F44" s="12">
        <f t="shared" si="1"/>
        <v>25</v>
      </c>
      <c r="G44" s="72">
        <v>21</v>
      </c>
      <c r="H44" s="14">
        <f t="shared" si="2"/>
        <v>52.5</v>
      </c>
      <c r="I44" s="63">
        <v>22</v>
      </c>
      <c r="J44" s="15">
        <f t="shared" si="3"/>
        <v>55.000000000000007</v>
      </c>
      <c r="K44" s="66">
        <v>24</v>
      </c>
      <c r="L44" s="12">
        <f t="shared" si="4"/>
        <v>60</v>
      </c>
      <c r="M44" s="46"/>
      <c r="N44" s="46">
        <v>17</v>
      </c>
      <c r="O44" s="15">
        <v>17</v>
      </c>
      <c r="P44" s="12">
        <f t="shared" si="6"/>
        <v>284.5</v>
      </c>
      <c r="Q44" s="17">
        <f t="shared" si="7"/>
        <v>47.416666666666671</v>
      </c>
      <c r="R44" s="22"/>
    </row>
    <row r="45" spans="1:18" ht="18">
      <c r="A45" s="41">
        <v>38</v>
      </c>
      <c r="B45" s="54" t="s">
        <v>128</v>
      </c>
      <c r="C45" s="33">
        <v>38</v>
      </c>
      <c r="D45" s="10">
        <f t="shared" si="0"/>
        <v>95</v>
      </c>
      <c r="E45" s="60">
        <v>20</v>
      </c>
      <c r="F45" s="12">
        <f t="shared" si="1"/>
        <v>50</v>
      </c>
      <c r="G45" s="72">
        <v>27</v>
      </c>
      <c r="H45" s="14">
        <f t="shared" si="2"/>
        <v>67.5</v>
      </c>
      <c r="I45" s="63">
        <v>25</v>
      </c>
      <c r="J45" s="15">
        <f t="shared" si="3"/>
        <v>62.5</v>
      </c>
      <c r="K45" s="66">
        <v>25</v>
      </c>
      <c r="L45" s="12">
        <f t="shared" si="4"/>
        <v>62.5</v>
      </c>
      <c r="M45" s="46"/>
      <c r="N45" s="46">
        <v>36</v>
      </c>
      <c r="O45" s="15">
        <f t="shared" ref="O45:O52" si="9">IF(N45="","",IF(N45="AB",AB,IF(N45="TC","TC",(N45/O$6)*100)))</f>
        <v>90</v>
      </c>
      <c r="P45" s="12">
        <f t="shared" si="6"/>
        <v>427.5</v>
      </c>
      <c r="Q45" s="17">
        <f t="shared" si="7"/>
        <v>71.25</v>
      </c>
      <c r="R45" s="22"/>
    </row>
    <row r="46" spans="1:18" ht="18">
      <c r="A46" s="41">
        <v>39</v>
      </c>
      <c r="B46" s="54" t="s">
        <v>129</v>
      </c>
      <c r="C46" s="33">
        <v>30</v>
      </c>
      <c r="D46" s="10">
        <f t="shared" si="0"/>
        <v>75</v>
      </c>
      <c r="E46" s="60">
        <v>18</v>
      </c>
      <c r="F46" s="70">
        <f t="shared" si="1"/>
        <v>45</v>
      </c>
      <c r="G46" s="72">
        <v>20</v>
      </c>
      <c r="H46" s="14">
        <f t="shared" si="2"/>
        <v>50</v>
      </c>
      <c r="I46" s="63">
        <v>20</v>
      </c>
      <c r="J46" s="15">
        <f t="shared" si="3"/>
        <v>50</v>
      </c>
      <c r="K46" s="66">
        <v>26</v>
      </c>
      <c r="L46" s="12">
        <f t="shared" si="4"/>
        <v>65</v>
      </c>
      <c r="M46" s="46"/>
      <c r="N46" s="46">
        <v>24</v>
      </c>
      <c r="O46" s="15">
        <f t="shared" si="9"/>
        <v>60</v>
      </c>
      <c r="P46" s="12">
        <f t="shared" si="6"/>
        <v>345</v>
      </c>
      <c r="Q46" s="17">
        <f t="shared" si="7"/>
        <v>57.499999999999993</v>
      </c>
      <c r="R46" s="22"/>
    </row>
    <row r="47" spans="1:18" ht="18">
      <c r="A47" s="41">
        <v>40</v>
      </c>
      <c r="B47" s="54" t="s">
        <v>130</v>
      </c>
      <c r="C47" s="33">
        <v>26</v>
      </c>
      <c r="D47" s="10">
        <f t="shared" si="0"/>
        <v>65</v>
      </c>
      <c r="E47" s="60">
        <v>18</v>
      </c>
      <c r="F47" s="12">
        <f t="shared" si="1"/>
        <v>45</v>
      </c>
      <c r="G47" s="41">
        <v>30</v>
      </c>
      <c r="H47" s="14">
        <f t="shared" si="2"/>
        <v>75</v>
      </c>
      <c r="I47" s="63">
        <v>32</v>
      </c>
      <c r="J47" s="15">
        <f t="shared" si="3"/>
        <v>80</v>
      </c>
      <c r="K47" s="66">
        <v>28</v>
      </c>
      <c r="L47" s="12">
        <f t="shared" si="4"/>
        <v>70</v>
      </c>
      <c r="M47" s="46"/>
      <c r="N47" s="46">
        <v>28</v>
      </c>
      <c r="O47" s="15">
        <f t="shared" si="9"/>
        <v>70</v>
      </c>
      <c r="P47" s="12">
        <f t="shared" si="6"/>
        <v>405</v>
      </c>
      <c r="Q47" s="17">
        <f t="shared" si="7"/>
        <v>67.5</v>
      </c>
      <c r="R47" s="22"/>
    </row>
    <row r="48" spans="1:18" ht="18">
      <c r="A48" s="41">
        <v>41</v>
      </c>
      <c r="B48" s="54" t="s">
        <v>131</v>
      </c>
      <c r="C48" s="33">
        <v>32</v>
      </c>
      <c r="D48" s="10">
        <f t="shared" si="0"/>
        <v>80</v>
      </c>
      <c r="E48" s="60">
        <v>26</v>
      </c>
      <c r="F48" s="12">
        <f t="shared" si="1"/>
        <v>65</v>
      </c>
      <c r="G48" s="41">
        <v>27</v>
      </c>
      <c r="H48" s="14">
        <f t="shared" si="2"/>
        <v>67.5</v>
      </c>
      <c r="I48" s="63">
        <v>36</v>
      </c>
      <c r="J48" s="15">
        <f t="shared" si="3"/>
        <v>90</v>
      </c>
      <c r="K48" s="66">
        <v>40</v>
      </c>
      <c r="L48" s="12">
        <f t="shared" si="4"/>
        <v>100</v>
      </c>
      <c r="M48" s="46"/>
      <c r="N48" s="46">
        <v>36</v>
      </c>
      <c r="O48" s="15">
        <f t="shared" si="9"/>
        <v>90</v>
      </c>
      <c r="P48" s="12">
        <f t="shared" si="6"/>
        <v>492.5</v>
      </c>
      <c r="Q48" s="17">
        <f t="shared" si="7"/>
        <v>82.083333333333329</v>
      </c>
      <c r="R48" s="22"/>
    </row>
    <row r="49" spans="1:18" ht="18">
      <c r="A49" s="41">
        <v>42</v>
      </c>
      <c r="B49" s="54" t="s">
        <v>132</v>
      </c>
      <c r="C49" s="33">
        <v>20</v>
      </c>
      <c r="D49" s="10">
        <f t="shared" si="0"/>
        <v>50</v>
      </c>
      <c r="E49" s="77">
        <v>8</v>
      </c>
      <c r="F49" s="12">
        <f t="shared" si="1"/>
        <v>20</v>
      </c>
      <c r="G49" s="41">
        <v>16</v>
      </c>
      <c r="H49" s="14">
        <f t="shared" si="2"/>
        <v>40</v>
      </c>
      <c r="I49" s="63">
        <v>12</v>
      </c>
      <c r="J49" s="15">
        <f t="shared" si="3"/>
        <v>30</v>
      </c>
      <c r="K49" s="66">
        <v>10</v>
      </c>
      <c r="L49" s="70">
        <f t="shared" si="4"/>
        <v>25</v>
      </c>
      <c r="M49" s="12"/>
      <c r="N49" s="12">
        <v>14</v>
      </c>
      <c r="O49" s="64">
        <f t="shared" si="9"/>
        <v>35</v>
      </c>
      <c r="P49" s="12">
        <f t="shared" si="6"/>
        <v>200</v>
      </c>
      <c r="Q49" s="17">
        <f t="shared" si="7"/>
        <v>33.333333333333329</v>
      </c>
      <c r="R49" s="22"/>
    </row>
    <row r="50" spans="1:18" ht="18">
      <c r="A50" s="41">
        <v>43</v>
      </c>
      <c r="B50" s="54" t="s">
        <v>133</v>
      </c>
      <c r="C50" s="33">
        <v>30</v>
      </c>
      <c r="D50" s="10">
        <f t="shared" si="0"/>
        <v>75</v>
      </c>
      <c r="E50" s="77">
        <v>20</v>
      </c>
      <c r="F50" s="12">
        <f t="shared" si="1"/>
        <v>50</v>
      </c>
      <c r="G50" s="41">
        <v>31</v>
      </c>
      <c r="H50" s="14">
        <f t="shared" si="2"/>
        <v>77.5</v>
      </c>
      <c r="I50" s="63">
        <v>36</v>
      </c>
      <c r="J50" s="15">
        <f t="shared" si="3"/>
        <v>90</v>
      </c>
      <c r="K50" s="66">
        <v>32</v>
      </c>
      <c r="L50" s="12">
        <f t="shared" si="4"/>
        <v>80</v>
      </c>
      <c r="M50" s="12"/>
      <c r="N50" s="12">
        <v>34</v>
      </c>
      <c r="O50" s="15">
        <f t="shared" si="9"/>
        <v>85</v>
      </c>
      <c r="P50" s="12">
        <f t="shared" si="6"/>
        <v>457.5</v>
      </c>
      <c r="Q50" s="17">
        <f t="shared" si="7"/>
        <v>76.25</v>
      </c>
      <c r="R50" s="22"/>
    </row>
    <row r="51" spans="1:18" ht="18">
      <c r="A51" s="41">
        <v>44</v>
      </c>
      <c r="B51" s="54" t="s">
        <v>134</v>
      </c>
      <c r="C51" s="33">
        <v>15</v>
      </c>
      <c r="D51" s="10">
        <f t="shared" si="0"/>
        <v>37.5</v>
      </c>
      <c r="E51" s="77">
        <v>7</v>
      </c>
      <c r="F51" s="70">
        <f t="shared" si="1"/>
        <v>17.5</v>
      </c>
      <c r="G51" s="41">
        <v>22</v>
      </c>
      <c r="H51" s="14">
        <f t="shared" si="2"/>
        <v>55.000000000000007</v>
      </c>
      <c r="I51" s="63">
        <v>22</v>
      </c>
      <c r="J51" s="15">
        <f t="shared" si="3"/>
        <v>55.000000000000007</v>
      </c>
      <c r="K51" s="66">
        <v>16</v>
      </c>
      <c r="L51" s="70">
        <f t="shared" si="4"/>
        <v>40</v>
      </c>
      <c r="M51" s="12"/>
      <c r="N51" s="12">
        <v>21</v>
      </c>
      <c r="O51" s="64">
        <f t="shared" si="9"/>
        <v>52.5</v>
      </c>
      <c r="P51" s="12">
        <f t="shared" si="6"/>
        <v>257.5</v>
      </c>
      <c r="Q51" s="17">
        <f t="shared" si="7"/>
        <v>42.916666666666664</v>
      </c>
      <c r="R51" s="22"/>
    </row>
    <row r="52" spans="1:18" ht="18">
      <c r="A52" s="41">
        <v>45</v>
      </c>
      <c r="B52" s="54" t="s">
        <v>135</v>
      </c>
      <c r="C52" s="33">
        <v>13</v>
      </c>
      <c r="D52" s="10">
        <f t="shared" si="0"/>
        <v>32.5</v>
      </c>
      <c r="E52" s="77">
        <v>13</v>
      </c>
      <c r="F52" s="70">
        <f t="shared" si="1"/>
        <v>32.5</v>
      </c>
      <c r="G52" s="41">
        <v>8</v>
      </c>
      <c r="H52" s="14">
        <f t="shared" si="2"/>
        <v>20</v>
      </c>
      <c r="I52" s="41">
        <v>10</v>
      </c>
      <c r="J52" s="15">
        <f t="shared" si="3"/>
        <v>25</v>
      </c>
      <c r="K52" s="66">
        <v>12</v>
      </c>
      <c r="L52" s="12">
        <f t="shared" si="4"/>
        <v>30</v>
      </c>
      <c r="M52" s="12"/>
      <c r="N52" s="12">
        <v>18</v>
      </c>
      <c r="O52" s="64">
        <f t="shared" si="9"/>
        <v>45</v>
      </c>
      <c r="P52" s="12">
        <f t="shared" si="6"/>
        <v>185</v>
      </c>
      <c r="Q52" s="17">
        <f t="shared" si="7"/>
        <v>30.833333333333336</v>
      </c>
      <c r="R52" s="22"/>
    </row>
    <row r="53" spans="1:18" ht="18">
      <c r="A53" s="41">
        <v>46</v>
      </c>
      <c r="B53" s="47"/>
      <c r="C53" s="22"/>
      <c r="D53" s="26"/>
      <c r="E53" s="78"/>
      <c r="F53" s="37"/>
      <c r="G53" s="22"/>
      <c r="H53" s="38"/>
      <c r="I53" s="79"/>
      <c r="J53" s="40"/>
      <c r="K53" s="18"/>
      <c r="L53" s="37"/>
      <c r="M53" s="37"/>
      <c r="N53" s="37"/>
      <c r="O53" s="40"/>
      <c r="P53" s="37"/>
      <c r="Q53" s="39" t="str">
        <f t="shared" si="7"/>
        <v/>
      </c>
      <c r="R53" s="22"/>
    </row>
    <row r="54" spans="1:18" ht="18">
      <c r="A54" s="41">
        <v>47</v>
      </c>
      <c r="B54" s="22"/>
      <c r="C54" s="22"/>
      <c r="D54" s="37" t="str">
        <f t="shared" ref="D54:D60" si="10">IF(C54="","",IF(C54="AB",AB,IF(C54="TC","TC",(C54/D$6)*100)))</f>
        <v/>
      </c>
      <c r="E54" s="22"/>
      <c r="F54" s="37" t="str">
        <f t="shared" ref="F54:F59" si="11">IF(E54="","",IF(E54="AB",AB,IF(E54="TC","TC",(E54/F$6)*100)))</f>
        <v/>
      </c>
      <c r="G54" s="22"/>
      <c r="H54" s="38" t="str">
        <f t="shared" ref="H54:H60" si="12">IF(G54="","",IF(G54="AB",AB,IF(G54="TC","TC",(G54/H$6)*100)))</f>
        <v/>
      </c>
      <c r="I54" s="79"/>
      <c r="J54" s="40"/>
      <c r="K54" s="22"/>
      <c r="L54" s="37" t="str">
        <f>IF(K54="","",IF(K54="AB",AB,IF(K54="TC","TC",(K54/L$6)*100)))</f>
        <v/>
      </c>
      <c r="M54" s="37"/>
      <c r="N54" s="37"/>
      <c r="O54" s="37"/>
      <c r="P54" s="37"/>
      <c r="Q54" s="39" t="str">
        <f t="shared" si="7"/>
        <v/>
      </c>
      <c r="R54" s="22"/>
    </row>
    <row r="55" spans="1:18" ht="18">
      <c r="A55" s="41">
        <v>48</v>
      </c>
      <c r="B55" s="22"/>
      <c r="C55" s="37"/>
      <c r="D55" s="37" t="str">
        <f t="shared" si="10"/>
        <v/>
      </c>
      <c r="E55" s="37"/>
      <c r="F55" s="37" t="str">
        <f t="shared" si="11"/>
        <v/>
      </c>
      <c r="G55" s="38"/>
      <c r="H55" s="38" t="str">
        <f t="shared" si="12"/>
        <v/>
      </c>
      <c r="I55" s="79"/>
      <c r="J55" s="40"/>
      <c r="K55" s="37"/>
      <c r="L55" s="37"/>
      <c r="M55" s="37"/>
      <c r="N55" s="37"/>
      <c r="O55" s="37"/>
      <c r="P55" s="37"/>
      <c r="Q55" s="39" t="str">
        <f t="shared" si="7"/>
        <v/>
      </c>
      <c r="R55" s="22"/>
    </row>
    <row r="56" spans="1:18" ht="18">
      <c r="A56" s="41">
        <v>49</v>
      </c>
      <c r="B56" s="22"/>
      <c r="C56" s="37"/>
      <c r="D56" s="37" t="str">
        <f t="shared" si="10"/>
        <v/>
      </c>
      <c r="E56" s="37"/>
      <c r="F56" s="37" t="str">
        <f t="shared" si="11"/>
        <v/>
      </c>
      <c r="G56" s="38"/>
      <c r="H56" s="38" t="str">
        <f t="shared" si="12"/>
        <v/>
      </c>
      <c r="I56" s="79"/>
      <c r="J56" s="40"/>
      <c r="K56" s="37"/>
      <c r="L56" s="37"/>
      <c r="M56" s="37"/>
      <c r="N56" s="37"/>
      <c r="O56" s="37"/>
      <c r="P56" s="37"/>
      <c r="Q56" s="39" t="str">
        <f t="shared" si="7"/>
        <v/>
      </c>
      <c r="R56" s="22"/>
    </row>
    <row r="57" spans="1:18" ht="18">
      <c r="A57" s="41">
        <v>50</v>
      </c>
      <c r="B57" s="22"/>
      <c r="C57" s="37"/>
      <c r="D57" s="37" t="str">
        <f t="shared" si="10"/>
        <v/>
      </c>
      <c r="E57" s="37"/>
      <c r="F57" s="37" t="str">
        <f t="shared" si="11"/>
        <v/>
      </c>
      <c r="G57" s="38"/>
      <c r="H57" s="38" t="str">
        <f t="shared" si="12"/>
        <v/>
      </c>
      <c r="I57" s="79"/>
      <c r="J57" s="40"/>
      <c r="K57" s="37"/>
      <c r="L57" s="37"/>
      <c r="M57" s="37"/>
      <c r="N57" s="37"/>
      <c r="O57" s="37"/>
      <c r="P57" s="37"/>
      <c r="Q57" s="39" t="str">
        <f t="shared" si="7"/>
        <v/>
      </c>
      <c r="R57" s="22"/>
    </row>
    <row r="58" spans="1:18" ht="14.4">
      <c r="A58" s="22"/>
      <c r="B58" s="22"/>
      <c r="C58" s="37"/>
      <c r="D58" s="37" t="str">
        <f t="shared" si="10"/>
        <v/>
      </c>
      <c r="E58" s="37"/>
      <c r="F58" s="37" t="str">
        <f t="shared" si="11"/>
        <v/>
      </c>
      <c r="G58" s="38"/>
      <c r="H58" s="38" t="str">
        <f t="shared" si="12"/>
        <v/>
      </c>
      <c r="I58" s="79"/>
      <c r="J58" s="40"/>
      <c r="K58" s="37"/>
      <c r="L58" s="37"/>
      <c r="M58" s="37"/>
      <c r="N58" s="37"/>
      <c r="O58" s="37"/>
      <c r="P58" s="37"/>
      <c r="Q58" s="39"/>
      <c r="R58" s="22"/>
    </row>
    <row r="59" spans="1:18" ht="18">
      <c r="A59" s="22"/>
      <c r="B59" s="22"/>
      <c r="C59" s="37"/>
      <c r="D59" s="37" t="str">
        <f t="shared" si="10"/>
        <v/>
      </c>
      <c r="E59" s="37"/>
      <c r="F59" s="37" t="str">
        <f t="shared" si="11"/>
        <v/>
      </c>
      <c r="G59" s="38"/>
      <c r="H59" s="38" t="str">
        <f t="shared" si="12"/>
        <v/>
      </c>
      <c r="I59" s="79"/>
      <c r="J59" s="40" t="str">
        <f t="shared" ref="J59:J60" si="13">IF(I59="","",IF(I59="AB",AB,IF(I59="TC","TC",(I59/J$6)*100)))</f>
        <v/>
      </c>
      <c r="K59" s="37"/>
      <c r="L59" s="37" t="str">
        <f t="shared" ref="L59:L60" si="14">IF(K59="","",IF(K59="AB",AB,IF(K59="TC","TC",(K59/L$6)*100)))</f>
        <v/>
      </c>
      <c r="M59" s="37"/>
      <c r="N59" s="37"/>
      <c r="O59" s="37" t="str">
        <f t="shared" ref="O59:O60" si="15">IF(N59="","",IF(N59="AB",AB,IF(N59="TC","TC",(N59/O$6)*100)))</f>
        <v/>
      </c>
      <c r="P59" s="12" t="e">
        <f>SUM(D59,F59,H59,J59,L59,O59,#REF!)</f>
        <v>#REF!</v>
      </c>
      <c r="Q59" s="17" t="e">
        <f>IF(P59="","",IF(P59="AB","AB",(P59/Q$6)*100))</f>
        <v>#REF!</v>
      </c>
      <c r="R59" s="41" t="e">
        <f>IF(Q59=0,"",IF(U59="FAIL","FAIL","PASS"))</f>
        <v>#REF!</v>
      </c>
    </row>
    <row r="60" spans="1:18" ht="18">
      <c r="A60" s="361" t="s">
        <v>70</v>
      </c>
      <c r="B60" s="362"/>
      <c r="C60" s="42">
        <f>IF(C63=0,"",SUM(C8:C59)/C63)</f>
        <v>29.466666666666665</v>
      </c>
      <c r="D60" s="12">
        <f t="shared" si="10"/>
        <v>73.666666666666657</v>
      </c>
      <c r="E60" s="42">
        <f>IF(E63=0,"",SUM(E8:E59)/E63)</f>
        <v>22.755555555555556</v>
      </c>
      <c r="F60" s="42">
        <f>IF(E60="","",IF(E60="AB",AB,IF(E60="TC","TC",(E60/F$6)*100)))</f>
        <v>56.888888888888886</v>
      </c>
      <c r="G60" s="42">
        <f>IF(G63=0,"",SUM(G8:G59)/G63)</f>
        <v>26.2</v>
      </c>
      <c r="H60" s="42">
        <f t="shared" si="12"/>
        <v>65.5</v>
      </c>
      <c r="I60" s="42">
        <f>IF(I63=0,"",SUM(I8:I59)/I63)</f>
        <v>28.31111111111111</v>
      </c>
      <c r="J60" s="42">
        <f t="shared" si="13"/>
        <v>70.777777777777771</v>
      </c>
      <c r="K60" s="42">
        <f>IF(K63=0,"",SUM(K8:K59)/K63)</f>
        <v>27.2</v>
      </c>
      <c r="L60" s="42">
        <f t="shared" si="14"/>
        <v>68</v>
      </c>
      <c r="M60" s="42"/>
      <c r="N60" s="42">
        <f>IF(N63=0,"",SUM(N8:N59)/N63)</f>
        <v>29.133333333333333</v>
      </c>
      <c r="O60" s="42">
        <f t="shared" si="15"/>
        <v>72.833333333333329</v>
      </c>
      <c r="P60" s="42" t="e">
        <f>IF(P63=0,"",SUM(P8:P59)/P63)</f>
        <v>#REF!</v>
      </c>
      <c r="Q60" s="42" t="e">
        <f>IF(P63=0,"",SUM(Q8:Q59)/P63)</f>
        <v>#REF!</v>
      </c>
      <c r="R60" s="39"/>
    </row>
    <row r="61" spans="1:18" ht="52.2">
      <c r="A61" s="393" t="s">
        <v>71</v>
      </c>
      <c r="B61" s="45" t="s">
        <v>72</v>
      </c>
      <c r="C61" s="359">
        <v>44</v>
      </c>
      <c r="D61" s="360"/>
      <c r="E61" s="359">
        <v>44</v>
      </c>
      <c r="F61" s="360"/>
      <c r="G61" s="359">
        <v>44</v>
      </c>
      <c r="H61" s="360"/>
      <c r="I61" s="359">
        <v>44</v>
      </c>
      <c r="J61" s="360"/>
      <c r="K61" s="359">
        <v>44</v>
      </c>
      <c r="L61" s="360"/>
      <c r="M61" s="80"/>
      <c r="N61" s="359">
        <v>44</v>
      </c>
      <c r="O61" s="360"/>
      <c r="P61" s="359" t="s">
        <v>15</v>
      </c>
      <c r="Q61" s="378"/>
      <c r="R61" s="360"/>
    </row>
    <row r="62" spans="1:18" ht="34.799999999999997">
      <c r="A62" s="381"/>
      <c r="B62" s="45" t="s">
        <v>73</v>
      </c>
      <c r="C62" s="361">
        <f>C61-C63</f>
        <v>-1</v>
      </c>
      <c r="D62" s="362"/>
      <c r="E62" s="361">
        <f>E61-E63</f>
        <v>-1</v>
      </c>
      <c r="F62" s="362"/>
      <c r="G62" s="361">
        <f>G61-G63</f>
        <v>-1</v>
      </c>
      <c r="H62" s="362"/>
      <c r="I62" s="361">
        <f>I61-I63</f>
        <v>-1</v>
      </c>
      <c r="J62" s="362"/>
      <c r="K62" s="361">
        <f>K61-K63</f>
        <v>-1</v>
      </c>
      <c r="L62" s="362"/>
      <c r="M62" s="46"/>
      <c r="N62" s="361">
        <f>N61-N63</f>
        <v>-1</v>
      </c>
      <c r="O62" s="362"/>
      <c r="P62" s="361">
        <f>COUNTIF(S8:S59,0)</f>
        <v>0</v>
      </c>
      <c r="Q62" s="364"/>
      <c r="R62" s="362"/>
    </row>
    <row r="63" spans="1:18" ht="17.399999999999999">
      <c r="A63" s="381"/>
      <c r="B63" s="46" t="s">
        <v>74</v>
      </c>
      <c r="C63" s="361">
        <f>COUNTIFS(D8:D59,"&gt;0")</f>
        <v>45</v>
      </c>
      <c r="D63" s="362"/>
      <c r="E63" s="361">
        <f>COUNTIFS(F8:F59,"&gt;0")</f>
        <v>45</v>
      </c>
      <c r="F63" s="362"/>
      <c r="G63" s="361">
        <f>COUNTIFS(H8:H59,"&gt;0")</f>
        <v>45</v>
      </c>
      <c r="H63" s="362"/>
      <c r="I63" s="361">
        <f>COUNTIFS(J8:J59,"&gt;0")</f>
        <v>45</v>
      </c>
      <c r="J63" s="362"/>
      <c r="K63" s="361">
        <f>COUNTIFS(L8:L59,"&gt;0")</f>
        <v>45</v>
      </c>
      <c r="L63" s="362"/>
      <c r="M63" s="46"/>
      <c r="N63" s="361">
        <f>COUNTIFS(O8:O59,"&gt;0")</f>
        <v>45</v>
      </c>
      <c r="O63" s="362"/>
      <c r="P63" s="361">
        <f>COUNTIFS(Q8:Q59,"&gt;0")</f>
        <v>45</v>
      </c>
      <c r="Q63" s="364"/>
      <c r="R63" s="362"/>
    </row>
    <row r="64" spans="1:18" ht="17.399999999999999">
      <c r="A64" s="381"/>
      <c r="B64" s="46" t="s">
        <v>75</v>
      </c>
      <c r="C64" s="361">
        <f>C63-C66</f>
        <v>45</v>
      </c>
      <c r="D64" s="362"/>
      <c r="E64" s="361">
        <f>E63-E66</f>
        <v>41</v>
      </c>
      <c r="F64" s="362"/>
      <c r="G64" s="361">
        <f>G63-G66</f>
        <v>43</v>
      </c>
      <c r="H64" s="362"/>
      <c r="I64" s="361">
        <f>I63-I66</f>
        <v>41</v>
      </c>
      <c r="J64" s="362"/>
      <c r="K64" s="391">
        <f>K63-K66</f>
        <v>41</v>
      </c>
      <c r="L64" s="362"/>
      <c r="M64" s="46"/>
      <c r="N64" s="361">
        <f>N63-N66</f>
        <v>43</v>
      </c>
      <c r="O64" s="362"/>
      <c r="P64" s="361">
        <f>COUNTIF(R8:R59,"PASS")</f>
        <v>0</v>
      </c>
      <c r="Q64" s="364"/>
      <c r="R64" s="362"/>
    </row>
    <row r="65" spans="1:18" ht="17.399999999999999">
      <c r="A65" s="381"/>
      <c r="B65" s="46" t="s">
        <v>76</v>
      </c>
      <c r="C65" s="363">
        <f>IF(C63=0,"",(C64/C63)*100)</f>
        <v>100</v>
      </c>
      <c r="D65" s="362"/>
      <c r="E65" s="363">
        <f>IF(E63=0,"",(E64/E63)*100)</f>
        <v>91.111111111111114</v>
      </c>
      <c r="F65" s="362"/>
      <c r="G65" s="363">
        <f>IF(G63=0,"",(G64/G63)*100)</f>
        <v>95.555555555555557</v>
      </c>
      <c r="H65" s="362"/>
      <c r="I65" s="363">
        <f>IF(I63=0,"",(I64/I63)*100)</f>
        <v>91.111111111111114</v>
      </c>
      <c r="J65" s="362"/>
      <c r="K65" s="363">
        <f>IF(K63=0,"",(K64/K63)*100)</f>
        <v>91.111111111111114</v>
      </c>
      <c r="L65" s="362"/>
      <c r="M65" s="81"/>
      <c r="N65" s="363">
        <f>IF(N63=0,"",(N64/N63)*100)</f>
        <v>95.555555555555557</v>
      </c>
      <c r="O65" s="362"/>
      <c r="P65" s="363">
        <f>IF(P63=0,"",(P64/P63)*100)</f>
        <v>0</v>
      </c>
      <c r="Q65" s="364"/>
      <c r="R65" s="362"/>
    </row>
    <row r="66" spans="1:18" ht="17.399999999999999">
      <c r="A66" s="381"/>
      <c r="B66" s="46" t="s">
        <v>77</v>
      </c>
      <c r="C66" s="361">
        <f>COUNTIFS(D8:D59,"&lt;=32",D8:D59,"&gt; 0")</f>
        <v>0</v>
      </c>
      <c r="D66" s="362"/>
      <c r="E66" s="361">
        <f>COUNTIFS(F8:F59,"&lt;=32",F8:F59,"&gt; 0")</f>
        <v>4</v>
      </c>
      <c r="F66" s="362"/>
      <c r="G66" s="361">
        <f>COUNTIFS(H8:H59,"&lt;=32",H8:H59,"&gt; 0")</f>
        <v>2</v>
      </c>
      <c r="H66" s="362"/>
      <c r="I66" s="361">
        <f>COUNTIFS(J8:J59,"&lt;=32",J8:J59,"&gt; 0")</f>
        <v>4</v>
      </c>
      <c r="J66" s="362"/>
      <c r="K66" s="361">
        <f>COUNTIFS(L8:L59,"&lt;=32",L8:L59,"&gt; 0")</f>
        <v>4</v>
      </c>
      <c r="L66" s="362"/>
      <c r="M66" s="46"/>
      <c r="N66" s="361">
        <f>COUNTIFS(O8:O59,"&lt;=32",O8:O59,"&gt; 0")</f>
        <v>2</v>
      </c>
      <c r="O66" s="362"/>
      <c r="P66" s="361">
        <f>COUNTIFS(Q8:Q59,"&lt;=32",Q8:Q59,"&gt; 0")</f>
        <v>1</v>
      </c>
      <c r="Q66" s="364"/>
      <c r="R66" s="362"/>
    </row>
    <row r="67" spans="1:18" ht="17.399999999999999">
      <c r="A67" s="381"/>
      <c r="B67" s="46" t="s">
        <v>78</v>
      </c>
      <c r="C67" s="361">
        <f>COUNTIFS(D8:D59,"&gt;=32.1",D8:D59,"&lt;=44")</f>
        <v>3</v>
      </c>
      <c r="D67" s="362"/>
      <c r="E67" s="361">
        <f>COUNTIFS(F8:F59,"&gt;=32.1",F8:F59,"&lt;=44")</f>
        <v>9</v>
      </c>
      <c r="F67" s="362"/>
      <c r="G67" s="361">
        <f>COUNTIFS(H8:H59,"&gt;=32.1",H8:H59,"&lt;=44")</f>
        <v>5</v>
      </c>
      <c r="H67" s="362"/>
      <c r="I67" s="361">
        <f>COUNTIFS(J8:J59,"&gt;=32.1",J8:J59,"&lt;=44")</f>
        <v>2</v>
      </c>
      <c r="J67" s="362"/>
      <c r="K67" s="361">
        <f>COUNTIFS(L8:L59,"&gt;=32.1",L8:L59,"&lt;=44")</f>
        <v>3</v>
      </c>
      <c r="L67" s="362"/>
      <c r="M67" s="46"/>
      <c r="N67" s="361">
        <f>COUNTIFS(O8:O59,"&gt;=32.1",O8:O59,"&lt;=44")</f>
        <v>4</v>
      </c>
      <c r="O67" s="362"/>
      <c r="P67" s="361">
        <f>COUNTIFS(Q8:Q59,"&gt;=32.1",Q8:Q59,"&lt;=44")</f>
        <v>5</v>
      </c>
      <c r="Q67" s="364"/>
      <c r="R67" s="362"/>
    </row>
    <row r="68" spans="1:18" ht="17.399999999999999">
      <c r="A68" s="381"/>
      <c r="B68" s="46" t="s">
        <v>79</v>
      </c>
      <c r="C68" s="361">
        <f>COUNTIFS(D8:D59,"&gt;=44.1",D8:D59,"&lt;=59")</f>
        <v>7</v>
      </c>
      <c r="D68" s="362"/>
      <c r="E68" s="361">
        <f>COUNTIFS(F8:F59,"&gt;=44.1",F8:F59,"&lt;=59")</f>
        <v>9</v>
      </c>
      <c r="F68" s="362"/>
      <c r="G68" s="361">
        <f>COUNTIFS(H8:H59,"&gt;=44.1",H8:H59,"&lt;=59")</f>
        <v>10</v>
      </c>
      <c r="H68" s="362"/>
      <c r="I68" s="361">
        <f>COUNTIFS(J8:J59,"&gt;=44.1",J8:J59,"&lt;=59")</f>
        <v>7</v>
      </c>
      <c r="J68" s="362"/>
      <c r="K68" s="361">
        <f>COUNTIFS(L8:L59,"&gt;=44.1",L8:L59,"&lt;=59")</f>
        <v>5</v>
      </c>
      <c r="L68" s="362"/>
      <c r="M68" s="46"/>
      <c r="N68" s="361">
        <f>COUNTIFS(O8:O59,"&gt;=44.1",O8:O59,"&lt;=59")</f>
        <v>5</v>
      </c>
      <c r="O68" s="362"/>
      <c r="P68" s="361">
        <f>COUNTIFS(Q8:Q59,"&gt;=44.1",Q8:Q59,"&lt;=59")</f>
        <v>8</v>
      </c>
      <c r="Q68" s="364"/>
      <c r="R68" s="362"/>
    </row>
    <row r="69" spans="1:18" ht="17.399999999999999">
      <c r="A69" s="381"/>
      <c r="B69" s="46" t="s">
        <v>80</v>
      </c>
      <c r="C69" s="361">
        <f>COUNTIFS(D8:D59,"&gt;=59.1",D8:D59,"&lt;=74")</f>
        <v>7</v>
      </c>
      <c r="D69" s="362"/>
      <c r="E69" s="361">
        <f>COUNTIFS(F8:F59,"&gt;=59.1",F8:F59,"&lt;=74")</f>
        <v>13</v>
      </c>
      <c r="F69" s="362"/>
      <c r="G69" s="361">
        <f>COUNTIFS(H8:H59,"&gt;=59.1",H8:H59,"&lt;=74")</f>
        <v>11</v>
      </c>
      <c r="H69" s="362"/>
      <c r="I69" s="361">
        <f>COUNTIFS(J8:J59,"&gt;=59.1",J8:J59,"&lt;=74")</f>
        <v>7</v>
      </c>
      <c r="J69" s="362"/>
      <c r="K69" s="361">
        <f>COUNTIFS(L8:L59,"&gt;=59.1",L8:L59,"&lt;=74")</f>
        <v>14</v>
      </c>
      <c r="L69" s="362"/>
      <c r="M69" s="46"/>
      <c r="N69" s="361">
        <f>COUNTIFS(O8:O59,"&gt;=59.1",O8:O59,"&lt;=74")</f>
        <v>10</v>
      </c>
      <c r="O69" s="362"/>
      <c r="P69" s="361">
        <f>COUNTIFS(Q8:Q59,"&gt;=59.1",Q8:Q59,"&lt;=74")</f>
        <v>12</v>
      </c>
      <c r="Q69" s="364"/>
      <c r="R69" s="362"/>
    </row>
    <row r="70" spans="1:18" ht="17.399999999999999">
      <c r="A70" s="381"/>
      <c r="B70" s="46" t="s">
        <v>81</v>
      </c>
      <c r="C70" s="361">
        <f>COUNTIFS(D8:D59,"&gt;=74.1",D8:D59,"&lt;89")</f>
        <v>20</v>
      </c>
      <c r="D70" s="362"/>
      <c r="E70" s="361">
        <f>COUNTIFS(F8:F59,"&gt;=74.1",F8:F59,"&lt;89")</f>
        <v>7</v>
      </c>
      <c r="F70" s="362"/>
      <c r="G70" s="361">
        <f>COUNTIFS(H8:H59,"&gt;=74.1",H8:H59,"&lt;89")</f>
        <v>10</v>
      </c>
      <c r="H70" s="362"/>
      <c r="I70" s="361">
        <f>COUNTIFS(J8:J59,"&gt;=74.1",J8:J59,"&lt;89")</f>
        <v>13</v>
      </c>
      <c r="J70" s="362"/>
      <c r="K70" s="361">
        <f>COUNTIFS(L8:L59,"&gt;=74.1",L8:L59,"&lt;89")</f>
        <v>8</v>
      </c>
      <c r="L70" s="362"/>
      <c r="M70" s="46"/>
      <c r="N70" s="361">
        <f>COUNTIFS(O8:O59,"&gt;=74.1",O8:O59,"&lt;89")</f>
        <v>11</v>
      </c>
      <c r="O70" s="362"/>
      <c r="P70" s="361">
        <f>COUNTIFS(Q8:Q59,"&gt;=74.1",Q8:Q59,"&lt;89")</f>
        <v>13</v>
      </c>
      <c r="Q70" s="364"/>
      <c r="R70" s="362"/>
    </row>
    <row r="71" spans="1:18" ht="17.399999999999999">
      <c r="A71" s="382"/>
      <c r="B71" s="48" t="s">
        <v>82</v>
      </c>
      <c r="C71" s="370">
        <f>COUNTIF(D8:D59,"&gt;=89.1")</f>
        <v>8</v>
      </c>
      <c r="D71" s="371"/>
      <c r="E71" s="370">
        <f>COUNTIF(F8:F59,"&gt;=89.1")</f>
        <v>3</v>
      </c>
      <c r="F71" s="371"/>
      <c r="G71" s="370">
        <f>COUNTIF(H8:H59,"&gt;=89.1")</f>
        <v>7</v>
      </c>
      <c r="H71" s="371"/>
      <c r="I71" s="370">
        <f>COUNTIF(J8:J59,"&gt;=89.1")</f>
        <v>12</v>
      </c>
      <c r="J71" s="371"/>
      <c r="K71" s="370">
        <f>COUNTIF(L8:L59,"&gt;=89.1")</f>
        <v>11</v>
      </c>
      <c r="L71" s="371"/>
      <c r="M71" s="48"/>
      <c r="N71" s="370">
        <f>COUNTIF(O8:O59,"&gt;=89.1")</f>
        <v>13</v>
      </c>
      <c r="O71" s="371"/>
      <c r="P71" s="361">
        <f>COUNTIF(Q8:Q59,"&gt;=89.1")</f>
        <v>6</v>
      </c>
      <c r="Q71" s="364"/>
      <c r="R71" s="362"/>
    </row>
    <row r="72" spans="1:18" ht="17.399999999999999">
      <c r="A72" s="388" t="s">
        <v>83</v>
      </c>
      <c r="B72" s="364"/>
      <c r="C72" s="361" t="s">
        <v>136</v>
      </c>
      <c r="D72" s="362"/>
      <c r="E72" s="361" t="s">
        <v>137</v>
      </c>
      <c r="F72" s="362"/>
      <c r="G72" s="361" t="s">
        <v>138</v>
      </c>
      <c r="H72" s="362"/>
      <c r="I72" s="361" t="s">
        <v>139</v>
      </c>
      <c r="J72" s="362"/>
      <c r="K72" s="372"/>
      <c r="L72" s="362"/>
      <c r="M72" s="22"/>
      <c r="N72" s="372"/>
      <c r="O72" s="362"/>
      <c r="P72" s="367" t="s">
        <v>84</v>
      </c>
      <c r="Q72" s="364"/>
      <c r="R72" s="82">
        <f>IF(P63=0,"",P62/P63*100)</f>
        <v>0</v>
      </c>
    </row>
    <row r="73" spans="1:18" ht="17.399999999999999">
      <c r="A73" s="389" t="s">
        <v>85</v>
      </c>
      <c r="B73" s="369"/>
      <c r="C73" s="390"/>
      <c r="D73" s="369"/>
      <c r="E73" s="369"/>
      <c r="F73" s="369"/>
      <c r="G73" s="369"/>
      <c r="H73" s="369"/>
      <c r="I73" s="369"/>
      <c r="J73" s="369"/>
      <c r="K73" s="369"/>
      <c r="L73" s="369"/>
      <c r="M73" s="52"/>
      <c r="N73" s="368" t="s">
        <v>86</v>
      </c>
      <c r="O73" s="369"/>
      <c r="P73" s="369"/>
      <c r="Q73" s="369"/>
      <c r="R73" s="369"/>
    </row>
    <row r="74" spans="1:18" ht="14.4">
      <c r="A74" s="1"/>
      <c r="B74" s="83" t="s">
        <v>140</v>
      </c>
      <c r="C74" s="1"/>
      <c r="D74" s="1"/>
      <c r="E74" s="1"/>
      <c r="F74" s="1"/>
      <c r="G74" s="1"/>
      <c r="H74" s="1"/>
      <c r="I74" s="84"/>
      <c r="J74" s="1"/>
      <c r="K74" s="1"/>
      <c r="L74" s="1"/>
      <c r="M74" s="1"/>
      <c r="N74" s="1"/>
      <c r="O74" s="1"/>
      <c r="P74" s="1"/>
      <c r="Q74" s="1"/>
      <c r="R74" s="1"/>
    </row>
    <row r="75" spans="1:18" ht="13.2">
      <c r="I75" s="85"/>
    </row>
    <row r="76" spans="1:18" ht="13.2">
      <c r="I76" s="85"/>
    </row>
    <row r="77" spans="1:18" ht="13.2">
      <c r="I77" s="85"/>
    </row>
    <row r="78" spans="1:18" ht="13.2">
      <c r="I78" s="85"/>
    </row>
    <row r="79" spans="1:18" ht="13.2">
      <c r="I79" s="85"/>
    </row>
    <row r="80" spans="1:18" ht="13.2">
      <c r="I80" s="85"/>
    </row>
    <row r="81" spans="9:9" ht="13.2">
      <c r="I81" s="85"/>
    </row>
    <row r="82" spans="9:9" ht="13.2">
      <c r="I82" s="85"/>
    </row>
    <row r="83" spans="9:9" ht="13.2">
      <c r="I83" s="85"/>
    </row>
    <row r="84" spans="9:9" ht="13.2">
      <c r="I84" s="85"/>
    </row>
    <row r="85" spans="9:9" ht="13.2">
      <c r="I85" s="85"/>
    </row>
    <row r="86" spans="9:9" ht="13.2">
      <c r="I86" s="85"/>
    </row>
    <row r="87" spans="9:9" ht="13.2">
      <c r="I87" s="85"/>
    </row>
    <row r="88" spans="9:9" ht="13.2">
      <c r="I88" s="85"/>
    </row>
    <row r="89" spans="9:9" ht="13.2">
      <c r="I89" s="85"/>
    </row>
    <row r="90" spans="9:9" ht="13.2">
      <c r="I90" s="85"/>
    </row>
    <row r="91" spans="9:9" ht="13.2">
      <c r="I91" s="85"/>
    </row>
    <row r="92" spans="9:9" ht="13.2">
      <c r="I92" s="85"/>
    </row>
    <row r="93" spans="9:9" ht="13.2">
      <c r="I93" s="85"/>
    </row>
    <row r="94" spans="9:9" ht="13.2">
      <c r="I94" s="85"/>
    </row>
    <row r="95" spans="9:9" ht="13.2">
      <c r="I95" s="85"/>
    </row>
    <row r="96" spans="9:9" ht="13.2">
      <c r="I96" s="85"/>
    </row>
    <row r="97" spans="9:9" ht="13.2">
      <c r="I97" s="85"/>
    </row>
    <row r="98" spans="9:9" ht="13.2">
      <c r="I98" s="85"/>
    </row>
    <row r="99" spans="9:9" ht="13.2">
      <c r="I99" s="85"/>
    </row>
    <row r="100" spans="9:9" ht="13.2">
      <c r="I100" s="85"/>
    </row>
    <row r="101" spans="9:9" ht="13.2">
      <c r="I101" s="85"/>
    </row>
    <row r="102" spans="9:9" ht="13.2">
      <c r="I102" s="85"/>
    </row>
    <row r="103" spans="9:9" ht="13.2">
      <c r="I103" s="85"/>
    </row>
    <row r="104" spans="9:9" ht="13.2">
      <c r="I104" s="85"/>
    </row>
    <row r="105" spans="9:9" ht="13.2">
      <c r="I105" s="85"/>
    </row>
    <row r="106" spans="9:9" ht="13.2">
      <c r="I106" s="85"/>
    </row>
    <row r="107" spans="9:9" ht="13.2">
      <c r="I107" s="85"/>
    </row>
    <row r="108" spans="9:9" ht="13.2">
      <c r="I108" s="85"/>
    </row>
    <row r="109" spans="9:9" ht="13.2">
      <c r="I109" s="85"/>
    </row>
    <row r="110" spans="9:9" ht="13.2">
      <c r="I110" s="85"/>
    </row>
    <row r="111" spans="9:9" ht="13.2">
      <c r="I111" s="85"/>
    </row>
    <row r="112" spans="9:9" ht="13.2">
      <c r="I112" s="85"/>
    </row>
    <row r="113" spans="9:9" ht="13.2">
      <c r="I113" s="85"/>
    </row>
    <row r="114" spans="9:9" ht="13.2">
      <c r="I114" s="85"/>
    </row>
    <row r="115" spans="9:9" ht="13.2">
      <c r="I115" s="85"/>
    </row>
    <row r="116" spans="9:9" ht="13.2">
      <c r="I116" s="85"/>
    </row>
    <row r="117" spans="9:9" ht="13.2">
      <c r="I117" s="85"/>
    </row>
    <row r="118" spans="9:9" ht="13.2">
      <c r="I118" s="85"/>
    </row>
    <row r="119" spans="9:9" ht="13.2">
      <c r="I119" s="85"/>
    </row>
    <row r="120" spans="9:9" ht="13.2">
      <c r="I120" s="85"/>
    </row>
    <row r="121" spans="9:9" ht="13.2">
      <c r="I121" s="85"/>
    </row>
    <row r="122" spans="9:9" ht="13.2">
      <c r="I122" s="85"/>
    </row>
    <row r="123" spans="9:9" ht="13.2">
      <c r="I123" s="85"/>
    </row>
    <row r="124" spans="9:9" ht="13.2">
      <c r="I124" s="85"/>
    </row>
    <row r="125" spans="9:9" ht="13.2">
      <c r="I125" s="85"/>
    </row>
    <row r="126" spans="9:9" ht="13.2">
      <c r="I126" s="85"/>
    </row>
    <row r="127" spans="9:9" ht="13.2">
      <c r="I127" s="85"/>
    </row>
    <row r="128" spans="9:9" ht="13.2">
      <c r="I128" s="85"/>
    </row>
    <row r="129" spans="9:9" ht="13.2">
      <c r="I129" s="85"/>
    </row>
    <row r="130" spans="9:9" ht="13.2">
      <c r="I130" s="85"/>
    </row>
    <row r="131" spans="9:9" ht="13.2">
      <c r="I131" s="85"/>
    </row>
    <row r="132" spans="9:9" ht="13.2">
      <c r="I132" s="85"/>
    </row>
    <row r="133" spans="9:9" ht="13.2">
      <c r="I133" s="85"/>
    </row>
    <row r="134" spans="9:9" ht="13.2">
      <c r="I134" s="85"/>
    </row>
    <row r="135" spans="9:9" ht="13.2">
      <c r="I135" s="85"/>
    </row>
    <row r="136" spans="9:9" ht="13.2">
      <c r="I136" s="85"/>
    </row>
    <row r="137" spans="9:9" ht="13.2">
      <c r="I137" s="85"/>
    </row>
    <row r="138" spans="9:9" ht="13.2">
      <c r="I138" s="85"/>
    </row>
    <row r="139" spans="9:9" ht="13.2">
      <c r="I139" s="85"/>
    </row>
    <row r="140" spans="9:9" ht="13.2">
      <c r="I140" s="85"/>
    </row>
    <row r="141" spans="9:9" ht="13.2">
      <c r="I141" s="85"/>
    </row>
    <row r="142" spans="9:9" ht="13.2">
      <c r="I142" s="85"/>
    </row>
    <row r="143" spans="9:9" ht="13.2">
      <c r="I143" s="85"/>
    </row>
    <row r="144" spans="9:9" ht="13.2">
      <c r="I144" s="85"/>
    </row>
    <row r="145" spans="9:9" ht="13.2">
      <c r="I145" s="85"/>
    </row>
    <row r="146" spans="9:9" ht="13.2">
      <c r="I146" s="85"/>
    </row>
    <row r="147" spans="9:9" ht="13.2">
      <c r="I147" s="85"/>
    </row>
    <row r="148" spans="9:9" ht="13.2">
      <c r="I148" s="85"/>
    </row>
    <row r="149" spans="9:9" ht="13.2">
      <c r="I149" s="85"/>
    </row>
    <row r="150" spans="9:9" ht="13.2">
      <c r="I150" s="85"/>
    </row>
    <row r="151" spans="9:9" ht="13.2">
      <c r="I151" s="85"/>
    </row>
    <row r="152" spans="9:9" ht="13.2">
      <c r="I152" s="85"/>
    </row>
    <row r="153" spans="9:9" ht="13.2">
      <c r="I153" s="85"/>
    </row>
    <row r="154" spans="9:9" ht="13.2">
      <c r="I154" s="85"/>
    </row>
    <row r="155" spans="9:9" ht="13.2">
      <c r="I155" s="85"/>
    </row>
    <row r="156" spans="9:9" ht="13.2">
      <c r="I156" s="85"/>
    </row>
    <row r="157" spans="9:9" ht="13.2">
      <c r="I157" s="85"/>
    </row>
    <row r="158" spans="9:9" ht="13.2">
      <c r="I158" s="85"/>
    </row>
    <row r="159" spans="9:9" ht="13.2">
      <c r="I159" s="85"/>
    </row>
    <row r="160" spans="9:9" ht="13.2">
      <c r="I160" s="85"/>
    </row>
    <row r="161" spans="9:9" ht="13.2">
      <c r="I161" s="85"/>
    </row>
    <row r="162" spans="9:9" ht="13.2">
      <c r="I162" s="85"/>
    </row>
    <row r="163" spans="9:9" ht="13.2">
      <c r="I163" s="85"/>
    </row>
    <row r="164" spans="9:9" ht="13.2">
      <c r="I164" s="85"/>
    </row>
    <row r="165" spans="9:9" ht="13.2">
      <c r="I165" s="85"/>
    </row>
    <row r="166" spans="9:9" ht="13.2">
      <c r="I166" s="85"/>
    </row>
    <row r="167" spans="9:9" ht="13.2">
      <c r="I167" s="85"/>
    </row>
    <row r="168" spans="9:9" ht="13.2">
      <c r="I168" s="85"/>
    </row>
    <row r="169" spans="9:9" ht="13.2">
      <c r="I169" s="85"/>
    </row>
    <row r="170" spans="9:9" ht="13.2">
      <c r="I170" s="85"/>
    </row>
    <row r="171" spans="9:9" ht="13.2">
      <c r="I171" s="85"/>
    </row>
    <row r="172" spans="9:9" ht="13.2">
      <c r="I172" s="85"/>
    </row>
    <row r="173" spans="9:9" ht="13.2">
      <c r="I173" s="85"/>
    </row>
    <row r="174" spans="9:9" ht="13.2">
      <c r="I174" s="85"/>
    </row>
    <row r="175" spans="9:9" ht="13.2">
      <c r="I175" s="85"/>
    </row>
    <row r="176" spans="9:9" ht="13.2">
      <c r="I176" s="85"/>
    </row>
    <row r="177" spans="9:9" ht="13.2">
      <c r="I177" s="85"/>
    </row>
    <row r="178" spans="9:9" ht="13.2">
      <c r="I178" s="85"/>
    </row>
    <row r="179" spans="9:9" ht="13.2">
      <c r="I179" s="85"/>
    </row>
    <row r="180" spans="9:9" ht="13.2">
      <c r="I180" s="85"/>
    </row>
    <row r="181" spans="9:9" ht="13.2">
      <c r="I181" s="85"/>
    </row>
    <row r="182" spans="9:9" ht="13.2">
      <c r="I182" s="85"/>
    </row>
    <row r="183" spans="9:9" ht="13.2">
      <c r="I183" s="85"/>
    </row>
    <row r="184" spans="9:9" ht="13.2">
      <c r="I184" s="85"/>
    </row>
    <row r="185" spans="9:9" ht="13.2">
      <c r="I185" s="85"/>
    </row>
    <row r="186" spans="9:9" ht="13.2">
      <c r="I186" s="85"/>
    </row>
    <row r="187" spans="9:9" ht="13.2">
      <c r="I187" s="85"/>
    </row>
    <row r="188" spans="9:9" ht="13.2">
      <c r="I188" s="85"/>
    </row>
    <row r="189" spans="9:9" ht="13.2">
      <c r="I189" s="85"/>
    </row>
    <row r="190" spans="9:9" ht="13.2">
      <c r="I190" s="85"/>
    </row>
    <row r="191" spans="9:9" ht="13.2">
      <c r="I191" s="85"/>
    </row>
    <row r="192" spans="9:9" ht="13.2">
      <c r="I192" s="85"/>
    </row>
    <row r="193" spans="9:9" ht="13.2">
      <c r="I193" s="85"/>
    </row>
    <row r="194" spans="9:9" ht="13.2">
      <c r="I194" s="85"/>
    </row>
    <row r="195" spans="9:9" ht="13.2">
      <c r="I195" s="85"/>
    </row>
    <row r="196" spans="9:9" ht="13.2">
      <c r="I196" s="85"/>
    </row>
    <row r="197" spans="9:9" ht="13.2">
      <c r="I197" s="85"/>
    </row>
    <row r="198" spans="9:9" ht="13.2">
      <c r="I198" s="85"/>
    </row>
    <row r="199" spans="9:9" ht="13.2">
      <c r="I199" s="85"/>
    </row>
    <row r="200" spans="9:9" ht="13.2">
      <c r="I200" s="85"/>
    </row>
    <row r="201" spans="9:9" ht="13.2">
      <c r="I201" s="85"/>
    </row>
    <row r="202" spans="9:9" ht="13.2">
      <c r="I202" s="85"/>
    </row>
    <row r="203" spans="9:9" ht="13.2">
      <c r="I203" s="85"/>
    </row>
    <row r="204" spans="9:9" ht="13.2">
      <c r="I204" s="85"/>
    </row>
    <row r="205" spans="9:9" ht="13.2">
      <c r="I205" s="85"/>
    </row>
    <row r="206" spans="9:9" ht="13.2">
      <c r="I206" s="85"/>
    </row>
    <row r="207" spans="9:9" ht="13.2">
      <c r="I207" s="85"/>
    </row>
    <row r="208" spans="9:9" ht="13.2">
      <c r="I208" s="85"/>
    </row>
    <row r="209" spans="9:9" ht="13.2">
      <c r="I209" s="85"/>
    </row>
    <row r="210" spans="9:9" ht="13.2">
      <c r="I210" s="85"/>
    </row>
    <row r="211" spans="9:9" ht="13.2">
      <c r="I211" s="85"/>
    </row>
    <row r="212" spans="9:9" ht="13.2">
      <c r="I212" s="85"/>
    </row>
    <row r="213" spans="9:9" ht="13.2">
      <c r="I213" s="85"/>
    </row>
    <row r="214" spans="9:9" ht="13.2">
      <c r="I214" s="85"/>
    </row>
    <row r="215" spans="9:9" ht="13.2">
      <c r="I215" s="85"/>
    </row>
    <row r="216" spans="9:9" ht="13.2">
      <c r="I216" s="85"/>
    </row>
    <row r="217" spans="9:9" ht="13.2">
      <c r="I217" s="85"/>
    </row>
    <row r="218" spans="9:9" ht="13.2">
      <c r="I218" s="85"/>
    </row>
    <row r="219" spans="9:9" ht="13.2">
      <c r="I219" s="85"/>
    </row>
    <row r="220" spans="9:9" ht="13.2">
      <c r="I220" s="85"/>
    </row>
    <row r="221" spans="9:9" ht="13.2">
      <c r="I221" s="85"/>
    </row>
    <row r="222" spans="9:9" ht="13.2">
      <c r="I222" s="85"/>
    </row>
    <row r="223" spans="9:9" ht="13.2">
      <c r="I223" s="85"/>
    </row>
    <row r="224" spans="9:9" ht="13.2">
      <c r="I224" s="85"/>
    </row>
    <row r="225" spans="9:9" ht="13.2">
      <c r="I225" s="85"/>
    </row>
    <row r="226" spans="9:9" ht="13.2">
      <c r="I226" s="85"/>
    </row>
    <row r="227" spans="9:9" ht="13.2">
      <c r="I227" s="85"/>
    </row>
    <row r="228" spans="9:9" ht="13.2">
      <c r="I228" s="85"/>
    </row>
    <row r="229" spans="9:9" ht="13.2">
      <c r="I229" s="85"/>
    </row>
    <row r="230" spans="9:9" ht="13.2">
      <c r="I230" s="85"/>
    </row>
    <row r="231" spans="9:9" ht="13.2">
      <c r="I231" s="85"/>
    </row>
    <row r="232" spans="9:9" ht="13.2">
      <c r="I232" s="85"/>
    </row>
    <row r="233" spans="9:9" ht="13.2">
      <c r="I233" s="85"/>
    </row>
    <row r="234" spans="9:9" ht="13.2">
      <c r="I234" s="85"/>
    </row>
    <row r="235" spans="9:9" ht="13.2">
      <c r="I235" s="85"/>
    </row>
    <row r="236" spans="9:9" ht="13.2">
      <c r="I236" s="85"/>
    </row>
    <row r="237" spans="9:9" ht="13.2">
      <c r="I237" s="85"/>
    </row>
    <row r="238" spans="9:9" ht="13.2">
      <c r="I238" s="85"/>
    </row>
    <row r="239" spans="9:9" ht="13.2">
      <c r="I239" s="85"/>
    </row>
    <row r="240" spans="9:9" ht="13.2">
      <c r="I240" s="85"/>
    </row>
    <row r="241" spans="9:9" ht="13.2">
      <c r="I241" s="85"/>
    </row>
    <row r="242" spans="9:9" ht="13.2">
      <c r="I242" s="85"/>
    </row>
    <row r="243" spans="9:9" ht="13.2">
      <c r="I243" s="85"/>
    </row>
    <row r="244" spans="9:9" ht="13.2">
      <c r="I244" s="85"/>
    </row>
    <row r="245" spans="9:9" ht="13.2">
      <c r="I245" s="85"/>
    </row>
    <row r="246" spans="9:9" ht="13.2">
      <c r="I246" s="85"/>
    </row>
    <row r="247" spans="9:9" ht="13.2">
      <c r="I247" s="85"/>
    </row>
    <row r="248" spans="9:9" ht="13.2">
      <c r="I248" s="85"/>
    </row>
    <row r="249" spans="9:9" ht="13.2">
      <c r="I249" s="85"/>
    </row>
    <row r="250" spans="9:9" ht="13.2">
      <c r="I250" s="85"/>
    </row>
    <row r="251" spans="9:9" ht="13.2">
      <c r="I251" s="85"/>
    </row>
    <row r="252" spans="9:9" ht="13.2">
      <c r="I252" s="85"/>
    </row>
    <row r="253" spans="9:9" ht="13.2">
      <c r="I253" s="85"/>
    </row>
    <row r="254" spans="9:9" ht="13.2">
      <c r="I254" s="85"/>
    </row>
    <row r="255" spans="9:9" ht="13.2">
      <c r="I255" s="85"/>
    </row>
    <row r="256" spans="9:9" ht="13.2">
      <c r="I256" s="85"/>
    </row>
    <row r="257" spans="9:9" ht="13.2">
      <c r="I257" s="85"/>
    </row>
    <row r="258" spans="9:9" ht="13.2">
      <c r="I258" s="85"/>
    </row>
    <row r="259" spans="9:9" ht="13.2">
      <c r="I259" s="85"/>
    </row>
    <row r="260" spans="9:9" ht="13.2">
      <c r="I260" s="85"/>
    </row>
    <row r="261" spans="9:9" ht="13.2">
      <c r="I261" s="85"/>
    </row>
    <row r="262" spans="9:9" ht="13.2">
      <c r="I262" s="85"/>
    </row>
    <row r="263" spans="9:9" ht="13.2">
      <c r="I263" s="85"/>
    </row>
    <row r="264" spans="9:9" ht="13.2">
      <c r="I264" s="85"/>
    </row>
    <row r="265" spans="9:9" ht="13.2">
      <c r="I265" s="85"/>
    </row>
    <row r="266" spans="9:9" ht="13.2">
      <c r="I266" s="85"/>
    </row>
    <row r="267" spans="9:9" ht="13.2">
      <c r="I267" s="85"/>
    </row>
    <row r="268" spans="9:9" ht="13.2">
      <c r="I268" s="85"/>
    </row>
    <row r="269" spans="9:9" ht="13.2">
      <c r="I269" s="85"/>
    </row>
    <row r="270" spans="9:9" ht="13.2">
      <c r="I270" s="85"/>
    </row>
    <row r="271" spans="9:9" ht="13.2">
      <c r="I271" s="85"/>
    </row>
    <row r="272" spans="9:9" ht="13.2">
      <c r="I272" s="85"/>
    </row>
    <row r="273" spans="9:9" ht="13.2">
      <c r="I273" s="85"/>
    </row>
    <row r="274" spans="9:9" ht="13.2">
      <c r="I274" s="85"/>
    </row>
    <row r="275" spans="9:9" ht="13.2">
      <c r="I275" s="85"/>
    </row>
    <row r="276" spans="9:9" ht="13.2">
      <c r="I276" s="85"/>
    </row>
    <row r="277" spans="9:9" ht="13.2">
      <c r="I277" s="85"/>
    </row>
    <row r="278" spans="9:9" ht="13.2">
      <c r="I278" s="85"/>
    </row>
    <row r="279" spans="9:9" ht="13.2">
      <c r="I279" s="85"/>
    </row>
    <row r="280" spans="9:9" ht="13.2">
      <c r="I280" s="85"/>
    </row>
    <row r="281" spans="9:9" ht="13.2">
      <c r="I281" s="85"/>
    </row>
    <row r="282" spans="9:9" ht="13.2">
      <c r="I282" s="85"/>
    </row>
    <row r="283" spans="9:9" ht="13.2">
      <c r="I283" s="85"/>
    </row>
    <row r="284" spans="9:9" ht="13.2">
      <c r="I284" s="85"/>
    </row>
    <row r="285" spans="9:9" ht="13.2">
      <c r="I285" s="85"/>
    </row>
    <row r="286" spans="9:9" ht="13.2">
      <c r="I286" s="85"/>
    </row>
    <row r="287" spans="9:9" ht="13.2">
      <c r="I287" s="85"/>
    </row>
    <row r="288" spans="9:9" ht="13.2">
      <c r="I288" s="85"/>
    </row>
    <row r="289" spans="9:9" ht="13.2">
      <c r="I289" s="85"/>
    </row>
    <row r="290" spans="9:9" ht="13.2">
      <c r="I290" s="85"/>
    </row>
    <row r="291" spans="9:9" ht="13.2">
      <c r="I291" s="85"/>
    </row>
    <row r="292" spans="9:9" ht="13.2">
      <c r="I292" s="85"/>
    </row>
    <row r="293" spans="9:9" ht="13.2">
      <c r="I293" s="85"/>
    </row>
    <row r="294" spans="9:9" ht="13.2">
      <c r="I294" s="85"/>
    </row>
    <row r="295" spans="9:9" ht="13.2">
      <c r="I295" s="85"/>
    </row>
    <row r="296" spans="9:9" ht="13.2">
      <c r="I296" s="85"/>
    </row>
    <row r="297" spans="9:9" ht="13.2">
      <c r="I297" s="85"/>
    </row>
    <row r="298" spans="9:9" ht="13.2">
      <c r="I298" s="85"/>
    </row>
    <row r="299" spans="9:9" ht="13.2">
      <c r="I299" s="85"/>
    </row>
    <row r="300" spans="9:9" ht="13.2">
      <c r="I300" s="85"/>
    </row>
    <row r="301" spans="9:9" ht="13.2">
      <c r="I301" s="85"/>
    </row>
    <row r="302" spans="9:9" ht="13.2">
      <c r="I302" s="85"/>
    </row>
    <row r="303" spans="9:9" ht="13.2">
      <c r="I303" s="85"/>
    </row>
    <row r="304" spans="9:9" ht="13.2">
      <c r="I304" s="85"/>
    </row>
    <row r="305" spans="9:9" ht="13.2">
      <c r="I305" s="85"/>
    </row>
    <row r="306" spans="9:9" ht="13.2">
      <c r="I306" s="85"/>
    </row>
    <row r="307" spans="9:9" ht="13.2">
      <c r="I307" s="85"/>
    </row>
    <row r="308" spans="9:9" ht="13.2">
      <c r="I308" s="85"/>
    </row>
    <row r="309" spans="9:9" ht="13.2">
      <c r="I309" s="85"/>
    </row>
    <row r="310" spans="9:9" ht="13.2">
      <c r="I310" s="85"/>
    </row>
    <row r="311" spans="9:9" ht="13.2">
      <c r="I311" s="85"/>
    </row>
    <row r="312" spans="9:9" ht="13.2">
      <c r="I312" s="85"/>
    </row>
    <row r="313" spans="9:9" ht="13.2">
      <c r="I313" s="85"/>
    </row>
    <row r="314" spans="9:9" ht="13.2">
      <c r="I314" s="85"/>
    </row>
    <row r="315" spans="9:9" ht="13.2">
      <c r="I315" s="85"/>
    </row>
    <row r="316" spans="9:9" ht="13.2">
      <c r="I316" s="85"/>
    </row>
    <row r="317" spans="9:9" ht="13.2">
      <c r="I317" s="85"/>
    </row>
    <row r="318" spans="9:9" ht="13.2">
      <c r="I318" s="85"/>
    </row>
    <row r="319" spans="9:9" ht="13.2">
      <c r="I319" s="85"/>
    </row>
    <row r="320" spans="9:9" ht="13.2">
      <c r="I320" s="85"/>
    </row>
    <row r="321" spans="9:9" ht="13.2">
      <c r="I321" s="85"/>
    </row>
    <row r="322" spans="9:9" ht="13.2">
      <c r="I322" s="85"/>
    </row>
    <row r="323" spans="9:9" ht="13.2">
      <c r="I323" s="85"/>
    </row>
    <row r="324" spans="9:9" ht="13.2">
      <c r="I324" s="85"/>
    </row>
    <row r="325" spans="9:9" ht="13.2">
      <c r="I325" s="85"/>
    </row>
    <row r="326" spans="9:9" ht="13.2">
      <c r="I326" s="85"/>
    </row>
    <row r="327" spans="9:9" ht="13.2">
      <c r="I327" s="85"/>
    </row>
    <row r="328" spans="9:9" ht="13.2">
      <c r="I328" s="85"/>
    </row>
    <row r="329" spans="9:9" ht="13.2">
      <c r="I329" s="85"/>
    </row>
    <row r="330" spans="9:9" ht="13.2">
      <c r="I330" s="85"/>
    </row>
    <row r="331" spans="9:9" ht="13.2">
      <c r="I331" s="85"/>
    </row>
    <row r="332" spans="9:9" ht="13.2">
      <c r="I332" s="85"/>
    </row>
    <row r="333" spans="9:9" ht="13.2">
      <c r="I333" s="85"/>
    </row>
    <row r="334" spans="9:9" ht="13.2">
      <c r="I334" s="85"/>
    </row>
    <row r="335" spans="9:9" ht="13.2">
      <c r="I335" s="85"/>
    </row>
    <row r="336" spans="9:9" ht="13.2">
      <c r="I336" s="85"/>
    </row>
    <row r="337" spans="9:9" ht="13.2">
      <c r="I337" s="85"/>
    </row>
    <row r="338" spans="9:9" ht="13.2">
      <c r="I338" s="85"/>
    </row>
    <row r="339" spans="9:9" ht="13.2">
      <c r="I339" s="85"/>
    </row>
    <row r="340" spans="9:9" ht="13.2">
      <c r="I340" s="85"/>
    </row>
    <row r="341" spans="9:9" ht="13.2">
      <c r="I341" s="85"/>
    </row>
    <row r="342" spans="9:9" ht="13.2">
      <c r="I342" s="85"/>
    </row>
    <row r="343" spans="9:9" ht="13.2">
      <c r="I343" s="85"/>
    </row>
    <row r="344" spans="9:9" ht="13.2">
      <c r="I344" s="85"/>
    </row>
    <row r="345" spans="9:9" ht="13.2">
      <c r="I345" s="85"/>
    </row>
    <row r="346" spans="9:9" ht="13.2">
      <c r="I346" s="85"/>
    </row>
    <row r="347" spans="9:9" ht="13.2">
      <c r="I347" s="85"/>
    </row>
    <row r="348" spans="9:9" ht="13.2">
      <c r="I348" s="85"/>
    </row>
    <row r="349" spans="9:9" ht="13.2">
      <c r="I349" s="85"/>
    </row>
    <row r="350" spans="9:9" ht="13.2">
      <c r="I350" s="85"/>
    </row>
    <row r="351" spans="9:9" ht="13.2">
      <c r="I351" s="85"/>
    </row>
    <row r="352" spans="9:9" ht="13.2">
      <c r="I352" s="85"/>
    </row>
    <row r="353" spans="9:9" ht="13.2">
      <c r="I353" s="85"/>
    </row>
    <row r="354" spans="9:9" ht="13.2">
      <c r="I354" s="85"/>
    </row>
    <row r="355" spans="9:9" ht="13.2">
      <c r="I355" s="85"/>
    </row>
    <row r="356" spans="9:9" ht="13.2">
      <c r="I356" s="85"/>
    </row>
    <row r="357" spans="9:9" ht="13.2">
      <c r="I357" s="85"/>
    </row>
    <row r="358" spans="9:9" ht="13.2">
      <c r="I358" s="85"/>
    </row>
    <row r="359" spans="9:9" ht="13.2">
      <c r="I359" s="85"/>
    </row>
    <row r="360" spans="9:9" ht="13.2">
      <c r="I360" s="85"/>
    </row>
    <row r="361" spans="9:9" ht="13.2">
      <c r="I361" s="85"/>
    </row>
    <row r="362" spans="9:9" ht="13.2">
      <c r="I362" s="85"/>
    </row>
    <row r="363" spans="9:9" ht="13.2">
      <c r="I363" s="85"/>
    </row>
    <row r="364" spans="9:9" ht="13.2">
      <c r="I364" s="85"/>
    </row>
    <row r="365" spans="9:9" ht="13.2">
      <c r="I365" s="85"/>
    </row>
    <row r="366" spans="9:9" ht="13.2">
      <c r="I366" s="85"/>
    </row>
    <row r="367" spans="9:9" ht="13.2">
      <c r="I367" s="85"/>
    </row>
    <row r="368" spans="9:9" ht="13.2">
      <c r="I368" s="85"/>
    </row>
    <row r="369" spans="9:9" ht="13.2">
      <c r="I369" s="85"/>
    </row>
    <row r="370" spans="9:9" ht="13.2">
      <c r="I370" s="85"/>
    </row>
    <row r="371" spans="9:9" ht="13.2">
      <c r="I371" s="85"/>
    </row>
    <row r="372" spans="9:9" ht="13.2">
      <c r="I372" s="85"/>
    </row>
    <row r="373" spans="9:9" ht="13.2">
      <c r="I373" s="85"/>
    </row>
    <row r="374" spans="9:9" ht="13.2">
      <c r="I374" s="85"/>
    </row>
    <row r="375" spans="9:9" ht="13.2">
      <c r="I375" s="85"/>
    </row>
    <row r="376" spans="9:9" ht="13.2">
      <c r="I376" s="85"/>
    </row>
    <row r="377" spans="9:9" ht="13.2">
      <c r="I377" s="85"/>
    </row>
    <row r="378" spans="9:9" ht="13.2">
      <c r="I378" s="85"/>
    </row>
    <row r="379" spans="9:9" ht="13.2">
      <c r="I379" s="85"/>
    </row>
    <row r="380" spans="9:9" ht="13.2">
      <c r="I380" s="85"/>
    </row>
    <row r="381" spans="9:9" ht="13.2">
      <c r="I381" s="85"/>
    </row>
    <row r="382" spans="9:9" ht="13.2">
      <c r="I382" s="85"/>
    </row>
    <row r="383" spans="9:9" ht="13.2">
      <c r="I383" s="85"/>
    </row>
    <row r="384" spans="9:9" ht="13.2">
      <c r="I384" s="85"/>
    </row>
    <row r="385" spans="9:9" ht="13.2">
      <c r="I385" s="85"/>
    </row>
    <row r="386" spans="9:9" ht="13.2">
      <c r="I386" s="85"/>
    </row>
    <row r="387" spans="9:9" ht="13.2">
      <c r="I387" s="85"/>
    </row>
    <row r="388" spans="9:9" ht="13.2">
      <c r="I388" s="85"/>
    </row>
    <row r="389" spans="9:9" ht="13.2">
      <c r="I389" s="85"/>
    </row>
    <row r="390" spans="9:9" ht="13.2">
      <c r="I390" s="85"/>
    </row>
    <row r="391" spans="9:9" ht="13.2">
      <c r="I391" s="85"/>
    </row>
    <row r="392" spans="9:9" ht="13.2">
      <c r="I392" s="85"/>
    </row>
    <row r="393" spans="9:9" ht="13.2">
      <c r="I393" s="85"/>
    </row>
    <row r="394" spans="9:9" ht="13.2">
      <c r="I394" s="85"/>
    </row>
    <row r="395" spans="9:9" ht="13.2">
      <c r="I395" s="85"/>
    </row>
    <row r="396" spans="9:9" ht="13.2">
      <c r="I396" s="85"/>
    </row>
    <row r="397" spans="9:9" ht="13.2">
      <c r="I397" s="85"/>
    </row>
    <row r="398" spans="9:9" ht="13.2">
      <c r="I398" s="85"/>
    </row>
    <row r="399" spans="9:9" ht="13.2">
      <c r="I399" s="85"/>
    </row>
    <row r="400" spans="9:9" ht="13.2">
      <c r="I400" s="85"/>
    </row>
    <row r="401" spans="9:9" ht="13.2">
      <c r="I401" s="85"/>
    </row>
    <row r="402" spans="9:9" ht="13.2">
      <c r="I402" s="85"/>
    </row>
    <row r="403" spans="9:9" ht="13.2">
      <c r="I403" s="85"/>
    </row>
    <row r="404" spans="9:9" ht="13.2">
      <c r="I404" s="85"/>
    </row>
    <row r="405" spans="9:9" ht="13.2">
      <c r="I405" s="85"/>
    </row>
    <row r="406" spans="9:9" ht="13.2">
      <c r="I406" s="85"/>
    </row>
    <row r="407" spans="9:9" ht="13.2">
      <c r="I407" s="85"/>
    </row>
    <row r="408" spans="9:9" ht="13.2">
      <c r="I408" s="85"/>
    </row>
    <row r="409" spans="9:9" ht="13.2">
      <c r="I409" s="85"/>
    </row>
    <row r="410" spans="9:9" ht="13.2">
      <c r="I410" s="85"/>
    </row>
    <row r="411" spans="9:9" ht="13.2">
      <c r="I411" s="85"/>
    </row>
    <row r="412" spans="9:9" ht="13.2">
      <c r="I412" s="85"/>
    </row>
    <row r="413" spans="9:9" ht="13.2">
      <c r="I413" s="85"/>
    </row>
    <row r="414" spans="9:9" ht="13.2">
      <c r="I414" s="85"/>
    </row>
    <row r="415" spans="9:9" ht="13.2">
      <c r="I415" s="85"/>
    </row>
    <row r="416" spans="9:9" ht="13.2">
      <c r="I416" s="85"/>
    </row>
    <row r="417" spans="9:9" ht="13.2">
      <c r="I417" s="85"/>
    </row>
    <row r="418" spans="9:9" ht="13.2">
      <c r="I418" s="85"/>
    </row>
    <row r="419" spans="9:9" ht="13.2">
      <c r="I419" s="85"/>
    </row>
    <row r="420" spans="9:9" ht="13.2">
      <c r="I420" s="85"/>
    </row>
    <row r="421" spans="9:9" ht="13.2">
      <c r="I421" s="85"/>
    </row>
    <row r="422" spans="9:9" ht="13.2">
      <c r="I422" s="85"/>
    </row>
    <row r="423" spans="9:9" ht="13.2">
      <c r="I423" s="85"/>
    </row>
    <row r="424" spans="9:9" ht="13.2">
      <c r="I424" s="85"/>
    </row>
    <row r="425" spans="9:9" ht="13.2">
      <c r="I425" s="85"/>
    </row>
    <row r="426" spans="9:9" ht="13.2">
      <c r="I426" s="85"/>
    </row>
    <row r="427" spans="9:9" ht="13.2">
      <c r="I427" s="85"/>
    </row>
    <row r="428" spans="9:9" ht="13.2">
      <c r="I428" s="85"/>
    </row>
    <row r="429" spans="9:9" ht="13.2">
      <c r="I429" s="85"/>
    </row>
    <row r="430" spans="9:9" ht="13.2">
      <c r="I430" s="85"/>
    </row>
    <row r="431" spans="9:9" ht="13.2">
      <c r="I431" s="85"/>
    </row>
    <row r="432" spans="9:9" ht="13.2">
      <c r="I432" s="85"/>
    </row>
    <row r="433" spans="9:9" ht="13.2">
      <c r="I433" s="85"/>
    </row>
    <row r="434" spans="9:9" ht="13.2">
      <c r="I434" s="85"/>
    </row>
    <row r="435" spans="9:9" ht="13.2">
      <c r="I435" s="85"/>
    </row>
    <row r="436" spans="9:9" ht="13.2">
      <c r="I436" s="85"/>
    </row>
    <row r="437" spans="9:9" ht="13.2">
      <c r="I437" s="85"/>
    </row>
    <row r="438" spans="9:9" ht="13.2">
      <c r="I438" s="85"/>
    </row>
    <row r="439" spans="9:9" ht="13.2">
      <c r="I439" s="85"/>
    </row>
    <row r="440" spans="9:9" ht="13.2">
      <c r="I440" s="85"/>
    </row>
    <row r="441" spans="9:9" ht="13.2">
      <c r="I441" s="85"/>
    </row>
    <row r="442" spans="9:9" ht="13.2">
      <c r="I442" s="85"/>
    </row>
    <row r="443" spans="9:9" ht="13.2">
      <c r="I443" s="85"/>
    </row>
    <row r="444" spans="9:9" ht="13.2">
      <c r="I444" s="85"/>
    </row>
    <row r="445" spans="9:9" ht="13.2">
      <c r="I445" s="85"/>
    </row>
    <row r="446" spans="9:9" ht="13.2">
      <c r="I446" s="85"/>
    </row>
    <row r="447" spans="9:9" ht="13.2">
      <c r="I447" s="85"/>
    </row>
    <row r="448" spans="9:9" ht="13.2">
      <c r="I448" s="85"/>
    </row>
    <row r="449" spans="9:9" ht="13.2">
      <c r="I449" s="85"/>
    </row>
    <row r="450" spans="9:9" ht="13.2">
      <c r="I450" s="85"/>
    </row>
    <row r="451" spans="9:9" ht="13.2">
      <c r="I451" s="85"/>
    </row>
    <row r="452" spans="9:9" ht="13.2">
      <c r="I452" s="85"/>
    </row>
    <row r="453" spans="9:9" ht="13.2">
      <c r="I453" s="85"/>
    </row>
    <row r="454" spans="9:9" ht="13.2">
      <c r="I454" s="85"/>
    </row>
    <row r="455" spans="9:9" ht="13.2">
      <c r="I455" s="85"/>
    </row>
    <row r="456" spans="9:9" ht="13.2">
      <c r="I456" s="85"/>
    </row>
    <row r="457" spans="9:9" ht="13.2">
      <c r="I457" s="85"/>
    </row>
    <row r="458" spans="9:9" ht="13.2">
      <c r="I458" s="85"/>
    </row>
    <row r="459" spans="9:9" ht="13.2">
      <c r="I459" s="85"/>
    </row>
    <row r="460" spans="9:9" ht="13.2">
      <c r="I460" s="85"/>
    </row>
    <row r="461" spans="9:9" ht="13.2">
      <c r="I461" s="85"/>
    </row>
    <row r="462" spans="9:9" ht="13.2">
      <c r="I462" s="85"/>
    </row>
    <row r="463" spans="9:9" ht="13.2">
      <c r="I463" s="85"/>
    </row>
    <row r="464" spans="9:9" ht="13.2">
      <c r="I464" s="85"/>
    </row>
    <row r="465" spans="9:9" ht="13.2">
      <c r="I465" s="85"/>
    </row>
    <row r="466" spans="9:9" ht="13.2">
      <c r="I466" s="85"/>
    </row>
    <row r="467" spans="9:9" ht="13.2">
      <c r="I467" s="85"/>
    </row>
    <row r="468" spans="9:9" ht="13.2">
      <c r="I468" s="85"/>
    </row>
    <row r="469" spans="9:9" ht="13.2">
      <c r="I469" s="85"/>
    </row>
    <row r="470" spans="9:9" ht="13.2">
      <c r="I470" s="85"/>
    </row>
    <row r="471" spans="9:9" ht="13.2">
      <c r="I471" s="85"/>
    </row>
    <row r="472" spans="9:9" ht="13.2">
      <c r="I472" s="85"/>
    </row>
    <row r="473" spans="9:9" ht="13.2">
      <c r="I473" s="85"/>
    </row>
    <row r="474" spans="9:9" ht="13.2">
      <c r="I474" s="85"/>
    </row>
    <row r="475" spans="9:9" ht="13.2">
      <c r="I475" s="85"/>
    </row>
    <row r="476" spans="9:9" ht="13.2">
      <c r="I476" s="85"/>
    </row>
    <row r="477" spans="9:9" ht="13.2">
      <c r="I477" s="85"/>
    </row>
    <row r="478" spans="9:9" ht="13.2">
      <c r="I478" s="85"/>
    </row>
    <row r="479" spans="9:9" ht="13.2">
      <c r="I479" s="85"/>
    </row>
    <row r="480" spans="9:9" ht="13.2">
      <c r="I480" s="85"/>
    </row>
    <row r="481" spans="9:9" ht="13.2">
      <c r="I481" s="85"/>
    </row>
    <row r="482" spans="9:9" ht="13.2">
      <c r="I482" s="85"/>
    </row>
    <row r="483" spans="9:9" ht="13.2">
      <c r="I483" s="85"/>
    </row>
    <row r="484" spans="9:9" ht="13.2">
      <c r="I484" s="85"/>
    </row>
    <row r="485" spans="9:9" ht="13.2">
      <c r="I485" s="85"/>
    </row>
    <row r="486" spans="9:9" ht="13.2">
      <c r="I486" s="85"/>
    </row>
    <row r="487" spans="9:9" ht="13.2">
      <c r="I487" s="85"/>
    </row>
    <row r="488" spans="9:9" ht="13.2">
      <c r="I488" s="85"/>
    </row>
    <row r="489" spans="9:9" ht="13.2">
      <c r="I489" s="85"/>
    </row>
    <row r="490" spans="9:9" ht="13.2">
      <c r="I490" s="85"/>
    </row>
    <row r="491" spans="9:9" ht="13.2">
      <c r="I491" s="85"/>
    </row>
    <row r="492" spans="9:9" ht="13.2">
      <c r="I492" s="85"/>
    </row>
    <row r="493" spans="9:9" ht="13.2">
      <c r="I493" s="85"/>
    </row>
    <row r="494" spans="9:9" ht="13.2">
      <c r="I494" s="85"/>
    </row>
    <row r="495" spans="9:9" ht="13.2">
      <c r="I495" s="85"/>
    </row>
    <row r="496" spans="9:9" ht="13.2">
      <c r="I496" s="85"/>
    </row>
    <row r="497" spans="9:9" ht="13.2">
      <c r="I497" s="85"/>
    </row>
    <row r="498" spans="9:9" ht="13.2">
      <c r="I498" s="85"/>
    </row>
    <row r="499" spans="9:9" ht="13.2">
      <c r="I499" s="85"/>
    </row>
    <row r="500" spans="9:9" ht="13.2">
      <c r="I500" s="85"/>
    </row>
    <row r="501" spans="9:9" ht="13.2">
      <c r="I501" s="85"/>
    </row>
    <row r="502" spans="9:9" ht="13.2">
      <c r="I502" s="85"/>
    </row>
    <row r="503" spans="9:9" ht="13.2">
      <c r="I503" s="85"/>
    </row>
    <row r="504" spans="9:9" ht="13.2">
      <c r="I504" s="85"/>
    </row>
    <row r="505" spans="9:9" ht="13.2">
      <c r="I505" s="85"/>
    </row>
    <row r="506" spans="9:9" ht="13.2">
      <c r="I506" s="85"/>
    </row>
    <row r="507" spans="9:9" ht="13.2">
      <c r="I507" s="85"/>
    </row>
    <row r="508" spans="9:9" ht="13.2">
      <c r="I508" s="85"/>
    </row>
    <row r="509" spans="9:9" ht="13.2">
      <c r="I509" s="85"/>
    </row>
    <row r="510" spans="9:9" ht="13.2">
      <c r="I510" s="85"/>
    </row>
    <row r="511" spans="9:9" ht="13.2">
      <c r="I511" s="85"/>
    </row>
    <row r="512" spans="9:9" ht="13.2">
      <c r="I512" s="85"/>
    </row>
    <row r="513" spans="9:9" ht="13.2">
      <c r="I513" s="85"/>
    </row>
    <row r="514" spans="9:9" ht="13.2">
      <c r="I514" s="85"/>
    </row>
    <row r="515" spans="9:9" ht="13.2">
      <c r="I515" s="85"/>
    </row>
    <row r="516" spans="9:9" ht="13.2">
      <c r="I516" s="85"/>
    </row>
    <row r="517" spans="9:9" ht="13.2">
      <c r="I517" s="85"/>
    </row>
    <row r="518" spans="9:9" ht="13.2">
      <c r="I518" s="85"/>
    </row>
    <row r="519" spans="9:9" ht="13.2">
      <c r="I519" s="85"/>
    </row>
    <row r="520" spans="9:9" ht="13.2">
      <c r="I520" s="85"/>
    </row>
    <row r="521" spans="9:9" ht="13.2">
      <c r="I521" s="85"/>
    </row>
    <row r="522" spans="9:9" ht="13.2">
      <c r="I522" s="85"/>
    </row>
    <row r="523" spans="9:9" ht="13.2">
      <c r="I523" s="85"/>
    </row>
    <row r="524" spans="9:9" ht="13.2">
      <c r="I524" s="85"/>
    </row>
    <row r="525" spans="9:9" ht="13.2">
      <c r="I525" s="85"/>
    </row>
    <row r="526" spans="9:9" ht="13.2">
      <c r="I526" s="85"/>
    </row>
    <row r="527" spans="9:9" ht="13.2">
      <c r="I527" s="85"/>
    </row>
    <row r="528" spans="9:9" ht="13.2">
      <c r="I528" s="85"/>
    </row>
    <row r="529" spans="9:9" ht="13.2">
      <c r="I529" s="85"/>
    </row>
    <row r="530" spans="9:9" ht="13.2">
      <c r="I530" s="85"/>
    </row>
    <row r="531" spans="9:9" ht="13.2">
      <c r="I531" s="85"/>
    </row>
    <row r="532" spans="9:9" ht="13.2">
      <c r="I532" s="85"/>
    </row>
    <row r="533" spans="9:9" ht="13.2">
      <c r="I533" s="85"/>
    </row>
    <row r="534" spans="9:9" ht="13.2">
      <c r="I534" s="85"/>
    </row>
    <row r="535" spans="9:9" ht="13.2">
      <c r="I535" s="85"/>
    </row>
    <row r="536" spans="9:9" ht="13.2">
      <c r="I536" s="85"/>
    </row>
    <row r="537" spans="9:9" ht="13.2">
      <c r="I537" s="85"/>
    </row>
    <row r="538" spans="9:9" ht="13.2">
      <c r="I538" s="85"/>
    </row>
    <row r="539" spans="9:9" ht="13.2">
      <c r="I539" s="85"/>
    </row>
    <row r="540" spans="9:9" ht="13.2">
      <c r="I540" s="85"/>
    </row>
    <row r="541" spans="9:9" ht="13.2">
      <c r="I541" s="85"/>
    </row>
    <row r="542" spans="9:9" ht="13.2">
      <c r="I542" s="85"/>
    </row>
    <row r="543" spans="9:9" ht="13.2">
      <c r="I543" s="85"/>
    </row>
    <row r="544" spans="9:9" ht="13.2">
      <c r="I544" s="85"/>
    </row>
    <row r="545" spans="9:9" ht="13.2">
      <c r="I545" s="85"/>
    </row>
    <row r="546" spans="9:9" ht="13.2">
      <c r="I546" s="85"/>
    </row>
    <row r="547" spans="9:9" ht="13.2">
      <c r="I547" s="85"/>
    </row>
    <row r="548" spans="9:9" ht="13.2">
      <c r="I548" s="85"/>
    </row>
    <row r="549" spans="9:9" ht="13.2">
      <c r="I549" s="85"/>
    </row>
    <row r="550" spans="9:9" ht="13.2">
      <c r="I550" s="85"/>
    </row>
    <row r="551" spans="9:9" ht="13.2">
      <c r="I551" s="85"/>
    </row>
    <row r="552" spans="9:9" ht="13.2">
      <c r="I552" s="85"/>
    </row>
    <row r="553" spans="9:9" ht="13.2">
      <c r="I553" s="85"/>
    </row>
    <row r="554" spans="9:9" ht="13.2">
      <c r="I554" s="85"/>
    </row>
    <row r="555" spans="9:9" ht="13.2">
      <c r="I555" s="85"/>
    </row>
    <row r="556" spans="9:9" ht="13.2">
      <c r="I556" s="85"/>
    </row>
    <row r="557" spans="9:9" ht="13.2">
      <c r="I557" s="85"/>
    </row>
    <row r="558" spans="9:9" ht="13.2">
      <c r="I558" s="85"/>
    </row>
    <row r="559" spans="9:9" ht="13.2">
      <c r="I559" s="85"/>
    </row>
    <row r="560" spans="9:9" ht="13.2">
      <c r="I560" s="85"/>
    </row>
    <row r="561" spans="9:9" ht="13.2">
      <c r="I561" s="85"/>
    </row>
    <row r="562" spans="9:9" ht="13.2">
      <c r="I562" s="85"/>
    </row>
    <row r="563" spans="9:9" ht="13.2">
      <c r="I563" s="85"/>
    </row>
    <row r="564" spans="9:9" ht="13.2">
      <c r="I564" s="85"/>
    </row>
    <row r="565" spans="9:9" ht="13.2">
      <c r="I565" s="85"/>
    </row>
    <row r="566" spans="9:9" ht="13.2">
      <c r="I566" s="85"/>
    </row>
    <row r="567" spans="9:9" ht="13.2">
      <c r="I567" s="85"/>
    </row>
    <row r="568" spans="9:9" ht="13.2">
      <c r="I568" s="85"/>
    </row>
    <row r="569" spans="9:9" ht="13.2">
      <c r="I569" s="85"/>
    </row>
    <row r="570" spans="9:9" ht="13.2">
      <c r="I570" s="85"/>
    </row>
    <row r="571" spans="9:9" ht="13.2">
      <c r="I571" s="85"/>
    </row>
    <row r="572" spans="9:9" ht="13.2">
      <c r="I572" s="85"/>
    </row>
    <row r="573" spans="9:9" ht="13.2">
      <c r="I573" s="85"/>
    </row>
    <row r="574" spans="9:9" ht="13.2">
      <c r="I574" s="85"/>
    </row>
    <row r="575" spans="9:9" ht="13.2">
      <c r="I575" s="85"/>
    </row>
    <row r="576" spans="9:9" ht="13.2">
      <c r="I576" s="85"/>
    </row>
    <row r="577" spans="9:9" ht="13.2">
      <c r="I577" s="85"/>
    </row>
    <row r="578" spans="9:9" ht="13.2">
      <c r="I578" s="85"/>
    </row>
    <row r="579" spans="9:9" ht="13.2">
      <c r="I579" s="85"/>
    </row>
    <row r="580" spans="9:9" ht="13.2">
      <c r="I580" s="85"/>
    </row>
    <row r="581" spans="9:9" ht="13.2">
      <c r="I581" s="85"/>
    </row>
    <row r="582" spans="9:9" ht="13.2">
      <c r="I582" s="85"/>
    </row>
    <row r="583" spans="9:9" ht="13.2">
      <c r="I583" s="85"/>
    </row>
    <row r="584" spans="9:9" ht="13.2">
      <c r="I584" s="85"/>
    </row>
    <row r="585" spans="9:9" ht="13.2">
      <c r="I585" s="85"/>
    </row>
    <row r="586" spans="9:9" ht="13.2">
      <c r="I586" s="85"/>
    </row>
    <row r="587" spans="9:9" ht="13.2">
      <c r="I587" s="85"/>
    </row>
    <row r="588" spans="9:9" ht="13.2">
      <c r="I588" s="85"/>
    </row>
    <row r="589" spans="9:9" ht="13.2">
      <c r="I589" s="85"/>
    </row>
    <row r="590" spans="9:9" ht="13.2">
      <c r="I590" s="85"/>
    </row>
    <row r="591" spans="9:9" ht="13.2">
      <c r="I591" s="85"/>
    </row>
    <row r="592" spans="9:9" ht="13.2">
      <c r="I592" s="85"/>
    </row>
    <row r="593" spans="9:9" ht="13.2">
      <c r="I593" s="85"/>
    </row>
    <row r="594" spans="9:9" ht="13.2">
      <c r="I594" s="85"/>
    </row>
    <row r="595" spans="9:9" ht="13.2">
      <c r="I595" s="85"/>
    </row>
    <row r="596" spans="9:9" ht="13.2">
      <c r="I596" s="85"/>
    </row>
    <row r="597" spans="9:9" ht="13.2">
      <c r="I597" s="85"/>
    </row>
    <row r="598" spans="9:9" ht="13.2">
      <c r="I598" s="85"/>
    </row>
    <row r="599" spans="9:9" ht="13.2">
      <c r="I599" s="85"/>
    </row>
    <row r="600" spans="9:9" ht="13.2">
      <c r="I600" s="85"/>
    </row>
    <row r="601" spans="9:9" ht="13.2">
      <c r="I601" s="85"/>
    </row>
    <row r="602" spans="9:9" ht="13.2">
      <c r="I602" s="85"/>
    </row>
    <row r="603" spans="9:9" ht="13.2">
      <c r="I603" s="85"/>
    </row>
    <row r="604" spans="9:9" ht="13.2">
      <c r="I604" s="85"/>
    </row>
    <row r="605" spans="9:9" ht="13.2">
      <c r="I605" s="85"/>
    </row>
    <row r="606" spans="9:9" ht="13.2">
      <c r="I606" s="85"/>
    </row>
    <row r="607" spans="9:9" ht="13.2">
      <c r="I607" s="85"/>
    </row>
    <row r="608" spans="9:9" ht="13.2">
      <c r="I608" s="85"/>
    </row>
    <row r="609" spans="9:9" ht="13.2">
      <c r="I609" s="85"/>
    </row>
    <row r="610" spans="9:9" ht="13.2">
      <c r="I610" s="85"/>
    </row>
    <row r="611" spans="9:9" ht="13.2">
      <c r="I611" s="85"/>
    </row>
    <row r="612" spans="9:9" ht="13.2">
      <c r="I612" s="85"/>
    </row>
    <row r="613" spans="9:9" ht="13.2">
      <c r="I613" s="85"/>
    </row>
    <row r="614" spans="9:9" ht="13.2">
      <c r="I614" s="85"/>
    </row>
    <row r="615" spans="9:9" ht="13.2">
      <c r="I615" s="85"/>
    </row>
    <row r="616" spans="9:9" ht="13.2">
      <c r="I616" s="85"/>
    </row>
    <row r="617" spans="9:9" ht="13.2">
      <c r="I617" s="85"/>
    </row>
    <row r="618" spans="9:9" ht="13.2">
      <c r="I618" s="85"/>
    </row>
    <row r="619" spans="9:9" ht="13.2">
      <c r="I619" s="85"/>
    </row>
    <row r="620" spans="9:9" ht="13.2">
      <c r="I620" s="85"/>
    </row>
    <row r="621" spans="9:9" ht="13.2">
      <c r="I621" s="85"/>
    </row>
    <row r="622" spans="9:9" ht="13.2">
      <c r="I622" s="85"/>
    </row>
    <row r="623" spans="9:9" ht="13.2">
      <c r="I623" s="85"/>
    </row>
    <row r="624" spans="9:9" ht="13.2">
      <c r="I624" s="85"/>
    </row>
    <row r="625" spans="9:9" ht="13.2">
      <c r="I625" s="85"/>
    </row>
    <row r="626" spans="9:9" ht="13.2">
      <c r="I626" s="85"/>
    </row>
    <row r="627" spans="9:9" ht="13.2">
      <c r="I627" s="85"/>
    </row>
    <row r="628" spans="9:9" ht="13.2">
      <c r="I628" s="85"/>
    </row>
    <row r="629" spans="9:9" ht="13.2">
      <c r="I629" s="85"/>
    </row>
    <row r="630" spans="9:9" ht="13.2">
      <c r="I630" s="85"/>
    </row>
    <row r="631" spans="9:9" ht="13.2">
      <c r="I631" s="85"/>
    </row>
    <row r="632" spans="9:9" ht="13.2">
      <c r="I632" s="85"/>
    </row>
    <row r="633" spans="9:9" ht="13.2">
      <c r="I633" s="85"/>
    </row>
    <row r="634" spans="9:9" ht="13.2">
      <c r="I634" s="85"/>
    </row>
    <row r="635" spans="9:9" ht="13.2">
      <c r="I635" s="85"/>
    </row>
    <row r="636" spans="9:9" ht="13.2">
      <c r="I636" s="85"/>
    </row>
    <row r="637" spans="9:9" ht="13.2">
      <c r="I637" s="85"/>
    </row>
    <row r="638" spans="9:9" ht="13.2">
      <c r="I638" s="85"/>
    </row>
    <row r="639" spans="9:9" ht="13.2">
      <c r="I639" s="85"/>
    </row>
    <row r="640" spans="9:9" ht="13.2">
      <c r="I640" s="85"/>
    </row>
    <row r="641" spans="9:9" ht="13.2">
      <c r="I641" s="85"/>
    </row>
    <row r="642" spans="9:9" ht="13.2">
      <c r="I642" s="85"/>
    </row>
    <row r="643" spans="9:9" ht="13.2">
      <c r="I643" s="85"/>
    </row>
    <row r="644" spans="9:9" ht="13.2">
      <c r="I644" s="85"/>
    </row>
    <row r="645" spans="9:9" ht="13.2">
      <c r="I645" s="85"/>
    </row>
    <row r="646" spans="9:9" ht="13.2">
      <c r="I646" s="85"/>
    </row>
    <row r="647" spans="9:9" ht="13.2">
      <c r="I647" s="85"/>
    </row>
    <row r="648" spans="9:9" ht="13.2">
      <c r="I648" s="85"/>
    </row>
    <row r="649" spans="9:9" ht="13.2">
      <c r="I649" s="85"/>
    </row>
    <row r="650" spans="9:9" ht="13.2">
      <c r="I650" s="85"/>
    </row>
    <row r="651" spans="9:9" ht="13.2">
      <c r="I651" s="85"/>
    </row>
    <row r="652" spans="9:9" ht="13.2">
      <c r="I652" s="85"/>
    </row>
    <row r="653" spans="9:9" ht="13.2">
      <c r="I653" s="85"/>
    </row>
    <row r="654" spans="9:9" ht="13.2">
      <c r="I654" s="85"/>
    </row>
    <row r="655" spans="9:9" ht="13.2">
      <c r="I655" s="85"/>
    </row>
    <row r="656" spans="9:9" ht="13.2">
      <c r="I656" s="85"/>
    </row>
    <row r="657" spans="9:9" ht="13.2">
      <c r="I657" s="85"/>
    </row>
    <row r="658" spans="9:9" ht="13.2">
      <c r="I658" s="85"/>
    </row>
    <row r="659" spans="9:9" ht="13.2">
      <c r="I659" s="85"/>
    </row>
    <row r="660" spans="9:9" ht="13.2">
      <c r="I660" s="85"/>
    </row>
    <row r="661" spans="9:9" ht="13.2">
      <c r="I661" s="85"/>
    </row>
    <row r="662" spans="9:9" ht="13.2">
      <c r="I662" s="85"/>
    </row>
    <row r="663" spans="9:9" ht="13.2">
      <c r="I663" s="85"/>
    </row>
    <row r="664" spans="9:9" ht="13.2">
      <c r="I664" s="85"/>
    </row>
    <row r="665" spans="9:9" ht="13.2">
      <c r="I665" s="85"/>
    </row>
    <row r="666" spans="9:9" ht="13.2">
      <c r="I666" s="85"/>
    </row>
    <row r="667" spans="9:9" ht="13.2">
      <c r="I667" s="85"/>
    </row>
    <row r="668" spans="9:9" ht="13.2">
      <c r="I668" s="85"/>
    </row>
    <row r="669" spans="9:9" ht="13.2">
      <c r="I669" s="85"/>
    </row>
    <row r="670" spans="9:9" ht="13.2">
      <c r="I670" s="85"/>
    </row>
    <row r="671" spans="9:9" ht="13.2">
      <c r="I671" s="85"/>
    </row>
    <row r="672" spans="9:9" ht="13.2">
      <c r="I672" s="85"/>
    </row>
    <row r="673" spans="9:9" ht="13.2">
      <c r="I673" s="85"/>
    </row>
    <row r="674" spans="9:9" ht="13.2">
      <c r="I674" s="85"/>
    </row>
    <row r="675" spans="9:9" ht="13.2">
      <c r="I675" s="85"/>
    </row>
    <row r="676" spans="9:9" ht="13.2">
      <c r="I676" s="85"/>
    </row>
    <row r="677" spans="9:9" ht="13.2">
      <c r="I677" s="85"/>
    </row>
    <row r="678" spans="9:9" ht="13.2">
      <c r="I678" s="85"/>
    </row>
    <row r="679" spans="9:9" ht="13.2">
      <c r="I679" s="85"/>
    </row>
    <row r="680" spans="9:9" ht="13.2">
      <c r="I680" s="85"/>
    </row>
    <row r="681" spans="9:9" ht="13.2">
      <c r="I681" s="85"/>
    </row>
    <row r="682" spans="9:9" ht="13.2">
      <c r="I682" s="85"/>
    </row>
    <row r="683" spans="9:9" ht="13.2">
      <c r="I683" s="85"/>
    </row>
    <row r="684" spans="9:9" ht="13.2">
      <c r="I684" s="85"/>
    </row>
    <row r="685" spans="9:9" ht="13.2">
      <c r="I685" s="85"/>
    </row>
    <row r="686" spans="9:9" ht="13.2">
      <c r="I686" s="85"/>
    </row>
    <row r="687" spans="9:9" ht="13.2">
      <c r="I687" s="85"/>
    </row>
    <row r="688" spans="9:9" ht="13.2">
      <c r="I688" s="85"/>
    </row>
    <row r="689" spans="9:9" ht="13.2">
      <c r="I689" s="85"/>
    </row>
    <row r="690" spans="9:9" ht="13.2">
      <c r="I690" s="85"/>
    </row>
    <row r="691" spans="9:9" ht="13.2">
      <c r="I691" s="85"/>
    </row>
    <row r="692" spans="9:9" ht="13.2">
      <c r="I692" s="85"/>
    </row>
    <row r="693" spans="9:9" ht="13.2">
      <c r="I693" s="85"/>
    </row>
    <row r="694" spans="9:9" ht="13.2">
      <c r="I694" s="85"/>
    </row>
    <row r="695" spans="9:9" ht="13.2">
      <c r="I695" s="85"/>
    </row>
    <row r="696" spans="9:9" ht="13.2">
      <c r="I696" s="85"/>
    </row>
    <row r="697" spans="9:9" ht="13.2">
      <c r="I697" s="85"/>
    </row>
    <row r="698" spans="9:9" ht="13.2">
      <c r="I698" s="85"/>
    </row>
    <row r="699" spans="9:9" ht="13.2">
      <c r="I699" s="85"/>
    </row>
    <row r="700" spans="9:9" ht="13.2">
      <c r="I700" s="85"/>
    </row>
    <row r="701" spans="9:9" ht="13.2">
      <c r="I701" s="85"/>
    </row>
    <row r="702" spans="9:9" ht="13.2">
      <c r="I702" s="85"/>
    </row>
    <row r="703" spans="9:9" ht="13.2">
      <c r="I703" s="85"/>
    </row>
    <row r="704" spans="9:9" ht="13.2">
      <c r="I704" s="85"/>
    </row>
    <row r="705" spans="9:9" ht="13.2">
      <c r="I705" s="85"/>
    </row>
    <row r="706" spans="9:9" ht="13.2">
      <c r="I706" s="85"/>
    </row>
    <row r="707" spans="9:9" ht="13.2">
      <c r="I707" s="85"/>
    </row>
    <row r="708" spans="9:9" ht="13.2">
      <c r="I708" s="85"/>
    </row>
    <row r="709" spans="9:9" ht="13.2">
      <c r="I709" s="85"/>
    </row>
    <row r="710" spans="9:9" ht="13.2">
      <c r="I710" s="85"/>
    </row>
    <row r="711" spans="9:9" ht="13.2">
      <c r="I711" s="85"/>
    </row>
    <row r="712" spans="9:9" ht="13.2">
      <c r="I712" s="85"/>
    </row>
    <row r="713" spans="9:9" ht="13.2">
      <c r="I713" s="85"/>
    </row>
    <row r="714" spans="9:9" ht="13.2">
      <c r="I714" s="85"/>
    </row>
    <row r="715" spans="9:9" ht="13.2">
      <c r="I715" s="85"/>
    </row>
    <row r="716" spans="9:9" ht="13.2">
      <c r="I716" s="85"/>
    </row>
    <row r="717" spans="9:9" ht="13.2">
      <c r="I717" s="85"/>
    </row>
    <row r="718" spans="9:9" ht="13.2">
      <c r="I718" s="85"/>
    </row>
    <row r="719" spans="9:9" ht="13.2">
      <c r="I719" s="85"/>
    </row>
    <row r="720" spans="9:9" ht="13.2">
      <c r="I720" s="85"/>
    </row>
    <row r="721" spans="9:9" ht="13.2">
      <c r="I721" s="85"/>
    </row>
    <row r="722" spans="9:9" ht="13.2">
      <c r="I722" s="85"/>
    </row>
    <row r="723" spans="9:9" ht="13.2">
      <c r="I723" s="85"/>
    </row>
    <row r="724" spans="9:9" ht="13.2">
      <c r="I724" s="85"/>
    </row>
    <row r="725" spans="9:9" ht="13.2">
      <c r="I725" s="85"/>
    </row>
    <row r="726" spans="9:9" ht="13.2">
      <c r="I726" s="85"/>
    </row>
    <row r="727" spans="9:9" ht="13.2">
      <c r="I727" s="85"/>
    </row>
    <row r="728" spans="9:9" ht="13.2">
      <c r="I728" s="85"/>
    </row>
    <row r="729" spans="9:9" ht="13.2">
      <c r="I729" s="85"/>
    </row>
    <row r="730" spans="9:9" ht="13.2">
      <c r="I730" s="85"/>
    </row>
    <row r="731" spans="9:9" ht="13.2">
      <c r="I731" s="85"/>
    </row>
    <row r="732" spans="9:9" ht="13.2">
      <c r="I732" s="85"/>
    </row>
    <row r="733" spans="9:9" ht="13.2">
      <c r="I733" s="85"/>
    </row>
    <row r="734" spans="9:9" ht="13.2">
      <c r="I734" s="85"/>
    </row>
    <row r="735" spans="9:9" ht="13.2">
      <c r="I735" s="85"/>
    </row>
    <row r="736" spans="9:9" ht="13.2">
      <c r="I736" s="85"/>
    </row>
    <row r="737" spans="9:9" ht="13.2">
      <c r="I737" s="85"/>
    </row>
    <row r="738" spans="9:9" ht="13.2">
      <c r="I738" s="85"/>
    </row>
    <row r="739" spans="9:9" ht="13.2">
      <c r="I739" s="85"/>
    </row>
    <row r="740" spans="9:9" ht="13.2">
      <c r="I740" s="85"/>
    </row>
    <row r="741" spans="9:9" ht="13.2">
      <c r="I741" s="85"/>
    </row>
    <row r="742" spans="9:9" ht="13.2">
      <c r="I742" s="85"/>
    </row>
    <row r="743" spans="9:9" ht="13.2">
      <c r="I743" s="85"/>
    </row>
    <row r="744" spans="9:9" ht="13.2">
      <c r="I744" s="85"/>
    </row>
    <row r="745" spans="9:9" ht="13.2">
      <c r="I745" s="85"/>
    </row>
    <row r="746" spans="9:9" ht="13.2">
      <c r="I746" s="85"/>
    </row>
    <row r="747" spans="9:9" ht="13.2">
      <c r="I747" s="85"/>
    </row>
    <row r="748" spans="9:9" ht="13.2">
      <c r="I748" s="85"/>
    </row>
    <row r="749" spans="9:9" ht="13.2">
      <c r="I749" s="85"/>
    </row>
    <row r="750" spans="9:9" ht="13.2">
      <c r="I750" s="85"/>
    </row>
    <row r="751" spans="9:9" ht="13.2">
      <c r="I751" s="85"/>
    </row>
    <row r="752" spans="9:9" ht="13.2">
      <c r="I752" s="85"/>
    </row>
    <row r="753" spans="9:9" ht="13.2">
      <c r="I753" s="85"/>
    </row>
    <row r="754" spans="9:9" ht="13.2">
      <c r="I754" s="85"/>
    </row>
    <row r="755" spans="9:9" ht="13.2">
      <c r="I755" s="85"/>
    </row>
    <row r="756" spans="9:9" ht="13.2">
      <c r="I756" s="85"/>
    </row>
    <row r="757" spans="9:9" ht="13.2">
      <c r="I757" s="85"/>
    </row>
    <row r="758" spans="9:9" ht="13.2">
      <c r="I758" s="85"/>
    </row>
    <row r="759" spans="9:9" ht="13.2">
      <c r="I759" s="85"/>
    </row>
    <row r="760" spans="9:9" ht="13.2">
      <c r="I760" s="85"/>
    </row>
    <row r="761" spans="9:9" ht="13.2">
      <c r="I761" s="85"/>
    </row>
    <row r="762" spans="9:9" ht="13.2">
      <c r="I762" s="85"/>
    </row>
    <row r="763" spans="9:9" ht="13.2">
      <c r="I763" s="85"/>
    </row>
    <row r="764" spans="9:9" ht="13.2">
      <c r="I764" s="85"/>
    </row>
    <row r="765" spans="9:9" ht="13.2">
      <c r="I765" s="85"/>
    </row>
    <row r="766" spans="9:9" ht="13.2">
      <c r="I766" s="85"/>
    </row>
    <row r="767" spans="9:9" ht="13.2">
      <c r="I767" s="85"/>
    </row>
    <row r="768" spans="9:9" ht="13.2">
      <c r="I768" s="85"/>
    </row>
    <row r="769" spans="9:9" ht="13.2">
      <c r="I769" s="85"/>
    </row>
    <row r="770" spans="9:9" ht="13.2">
      <c r="I770" s="85"/>
    </row>
    <row r="771" spans="9:9" ht="13.2">
      <c r="I771" s="85"/>
    </row>
    <row r="772" spans="9:9" ht="13.2">
      <c r="I772" s="85"/>
    </row>
    <row r="773" spans="9:9" ht="13.2">
      <c r="I773" s="85"/>
    </row>
    <row r="774" spans="9:9" ht="13.2">
      <c r="I774" s="85"/>
    </row>
    <row r="775" spans="9:9" ht="13.2">
      <c r="I775" s="85"/>
    </row>
    <row r="776" spans="9:9" ht="13.2">
      <c r="I776" s="85"/>
    </row>
    <row r="777" spans="9:9" ht="13.2">
      <c r="I777" s="85"/>
    </row>
    <row r="778" spans="9:9" ht="13.2">
      <c r="I778" s="85"/>
    </row>
    <row r="779" spans="9:9" ht="13.2">
      <c r="I779" s="85"/>
    </row>
    <row r="780" spans="9:9" ht="13.2">
      <c r="I780" s="85"/>
    </row>
    <row r="781" spans="9:9" ht="13.2">
      <c r="I781" s="85"/>
    </row>
    <row r="782" spans="9:9" ht="13.2">
      <c r="I782" s="85"/>
    </row>
    <row r="783" spans="9:9" ht="13.2">
      <c r="I783" s="85"/>
    </row>
    <row r="784" spans="9:9" ht="13.2">
      <c r="I784" s="85"/>
    </row>
    <row r="785" spans="9:9" ht="13.2">
      <c r="I785" s="85"/>
    </row>
    <row r="786" spans="9:9" ht="13.2">
      <c r="I786" s="85"/>
    </row>
    <row r="787" spans="9:9" ht="13.2">
      <c r="I787" s="85"/>
    </row>
    <row r="788" spans="9:9" ht="13.2">
      <c r="I788" s="85"/>
    </row>
    <row r="789" spans="9:9" ht="13.2">
      <c r="I789" s="85"/>
    </row>
    <row r="790" spans="9:9" ht="13.2">
      <c r="I790" s="85"/>
    </row>
    <row r="791" spans="9:9" ht="13.2">
      <c r="I791" s="85"/>
    </row>
    <row r="792" spans="9:9" ht="13.2">
      <c r="I792" s="85"/>
    </row>
    <row r="793" spans="9:9" ht="13.2">
      <c r="I793" s="85"/>
    </row>
    <row r="794" spans="9:9" ht="13.2">
      <c r="I794" s="85"/>
    </row>
    <row r="795" spans="9:9" ht="13.2">
      <c r="I795" s="85"/>
    </row>
    <row r="796" spans="9:9" ht="13.2">
      <c r="I796" s="85"/>
    </row>
    <row r="797" spans="9:9" ht="13.2">
      <c r="I797" s="85"/>
    </row>
    <row r="798" spans="9:9" ht="13.2">
      <c r="I798" s="85"/>
    </row>
    <row r="799" spans="9:9" ht="13.2">
      <c r="I799" s="85"/>
    </row>
    <row r="800" spans="9:9" ht="13.2">
      <c r="I800" s="85"/>
    </row>
    <row r="801" spans="9:9" ht="13.2">
      <c r="I801" s="85"/>
    </row>
    <row r="802" spans="9:9" ht="13.2">
      <c r="I802" s="85"/>
    </row>
    <row r="803" spans="9:9" ht="13.2">
      <c r="I803" s="85"/>
    </row>
    <row r="804" spans="9:9" ht="13.2">
      <c r="I804" s="85"/>
    </row>
    <row r="805" spans="9:9" ht="13.2">
      <c r="I805" s="85"/>
    </row>
    <row r="806" spans="9:9" ht="13.2">
      <c r="I806" s="85"/>
    </row>
    <row r="807" spans="9:9" ht="13.2">
      <c r="I807" s="85"/>
    </row>
    <row r="808" spans="9:9" ht="13.2">
      <c r="I808" s="85"/>
    </row>
    <row r="809" spans="9:9" ht="13.2">
      <c r="I809" s="85"/>
    </row>
    <row r="810" spans="9:9" ht="13.2">
      <c r="I810" s="85"/>
    </row>
    <row r="811" spans="9:9" ht="13.2">
      <c r="I811" s="85"/>
    </row>
    <row r="812" spans="9:9" ht="13.2">
      <c r="I812" s="85"/>
    </row>
    <row r="813" spans="9:9" ht="13.2">
      <c r="I813" s="85"/>
    </row>
    <row r="814" spans="9:9" ht="13.2">
      <c r="I814" s="85"/>
    </row>
    <row r="815" spans="9:9" ht="13.2">
      <c r="I815" s="85"/>
    </row>
    <row r="816" spans="9:9" ht="13.2">
      <c r="I816" s="85"/>
    </row>
    <row r="817" spans="9:9" ht="13.2">
      <c r="I817" s="85"/>
    </row>
    <row r="818" spans="9:9" ht="13.2">
      <c r="I818" s="85"/>
    </row>
    <row r="819" spans="9:9" ht="13.2">
      <c r="I819" s="85"/>
    </row>
    <row r="820" spans="9:9" ht="13.2">
      <c r="I820" s="85"/>
    </row>
    <row r="821" spans="9:9" ht="13.2">
      <c r="I821" s="85"/>
    </row>
    <row r="822" spans="9:9" ht="13.2">
      <c r="I822" s="85"/>
    </row>
    <row r="823" spans="9:9" ht="13.2">
      <c r="I823" s="85"/>
    </row>
    <row r="824" spans="9:9" ht="13.2">
      <c r="I824" s="85"/>
    </row>
    <row r="825" spans="9:9" ht="13.2">
      <c r="I825" s="85"/>
    </row>
    <row r="826" spans="9:9" ht="13.2">
      <c r="I826" s="85"/>
    </row>
    <row r="827" spans="9:9" ht="13.2">
      <c r="I827" s="85"/>
    </row>
    <row r="828" spans="9:9" ht="13.2">
      <c r="I828" s="85"/>
    </row>
    <row r="829" spans="9:9" ht="13.2">
      <c r="I829" s="85"/>
    </row>
    <row r="830" spans="9:9" ht="13.2">
      <c r="I830" s="85"/>
    </row>
    <row r="831" spans="9:9" ht="13.2">
      <c r="I831" s="85"/>
    </row>
    <row r="832" spans="9:9" ht="13.2">
      <c r="I832" s="85"/>
    </row>
    <row r="833" spans="9:9" ht="13.2">
      <c r="I833" s="85"/>
    </row>
    <row r="834" spans="9:9" ht="13.2">
      <c r="I834" s="85"/>
    </row>
    <row r="835" spans="9:9" ht="13.2">
      <c r="I835" s="85"/>
    </row>
    <row r="836" spans="9:9" ht="13.2">
      <c r="I836" s="85"/>
    </row>
    <row r="837" spans="9:9" ht="13.2">
      <c r="I837" s="85"/>
    </row>
    <row r="838" spans="9:9" ht="13.2">
      <c r="I838" s="85"/>
    </row>
    <row r="839" spans="9:9" ht="13.2">
      <c r="I839" s="85"/>
    </row>
    <row r="840" spans="9:9" ht="13.2">
      <c r="I840" s="85"/>
    </row>
    <row r="841" spans="9:9" ht="13.2">
      <c r="I841" s="85"/>
    </row>
    <row r="842" spans="9:9" ht="13.2">
      <c r="I842" s="85"/>
    </row>
    <row r="843" spans="9:9" ht="13.2">
      <c r="I843" s="85"/>
    </row>
    <row r="844" spans="9:9" ht="13.2">
      <c r="I844" s="85"/>
    </row>
    <row r="845" spans="9:9" ht="13.2">
      <c r="I845" s="85"/>
    </row>
    <row r="846" spans="9:9" ht="13.2">
      <c r="I846" s="85"/>
    </row>
    <row r="847" spans="9:9" ht="13.2">
      <c r="I847" s="85"/>
    </row>
    <row r="848" spans="9:9" ht="13.2">
      <c r="I848" s="85"/>
    </row>
    <row r="849" spans="9:9" ht="13.2">
      <c r="I849" s="85"/>
    </row>
    <row r="850" spans="9:9" ht="13.2">
      <c r="I850" s="85"/>
    </row>
    <row r="851" spans="9:9" ht="13.2">
      <c r="I851" s="85"/>
    </row>
    <row r="852" spans="9:9" ht="13.2">
      <c r="I852" s="85"/>
    </row>
    <row r="853" spans="9:9" ht="13.2">
      <c r="I853" s="85"/>
    </row>
    <row r="854" spans="9:9" ht="13.2">
      <c r="I854" s="85"/>
    </row>
    <row r="855" spans="9:9" ht="13.2">
      <c r="I855" s="85"/>
    </row>
    <row r="856" spans="9:9" ht="13.2">
      <c r="I856" s="85"/>
    </row>
    <row r="857" spans="9:9" ht="13.2">
      <c r="I857" s="85"/>
    </row>
    <row r="858" spans="9:9" ht="13.2">
      <c r="I858" s="85"/>
    </row>
    <row r="859" spans="9:9" ht="13.2">
      <c r="I859" s="85"/>
    </row>
    <row r="860" spans="9:9" ht="13.2">
      <c r="I860" s="85"/>
    </row>
    <row r="861" spans="9:9" ht="13.2">
      <c r="I861" s="85"/>
    </row>
    <row r="862" spans="9:9" ht="13.2">
      <c r="I862" s="85"/>
    </row>
    <row r="863" spans="9:9" ht="13.2">
      <c r="I863" s="85"/>
    </row>
    <row r="864" spans="9:9" ht="13.2">
      <c r="I864" s="85"/>
    </row>
    <row r="865" spans="9:9" ht="13.2">
      <c r="I865" s="85"/>
    </row>
    <row r="866" spans="9:9" ht="13.2">
      <c r="I866" s="85"/>
    </row>
    <row r="867" spans="9:9" ht="13.2">
      <c r="I867" s="85"/>
    </row>
    <row r="868" spans="9:9" ht="13.2">
      <c r="I868" s="85"/>
    </row>
    <row r="869" spans="9:9" ht="13.2">
      <c r="I869" s="85"/>
    </row>
    <row r="870" spans="9:9" ht="13.2">
      <c r="I870" s="85"/>
    </row>
    <row r="871" spans="9:9" ht="13.2">
      <c r="I871" s="85"/>
    </row>
    <row r="872" spans="9:9" ht="13.2">
      <c r="I872" s="85"/>
    </row>
    <row r="873" spans="9:9" ht="13.2">
      <c r="I873" s="85"/>
    </row>
    <row r="874" spans="9:9" ht="13.2">
      <c r="I874" s="85"/>
    </row>
    <row r="875" spans="9:9" ht="13.2">
      <c r="I875" s="85"/>
    </row>
    <row r="876" spans="9:9" ht="13.2">
      <c r="I876" s="85"/>
    </row>
    <row r="877" spans="9:9" ht="13.2">
      <c r="I877" s="85"/>
    </row>
    <row r="878" spans="9:9" ht="13.2">
      <c r="I878" s="85"/>
    </row>
    <row r="879" spans="9:9" ht="13.2">
      <c r="I879" s="85"/>
    </row>
    <row r="880" spans="9:9" ht="13.2">
      <c r="I880" s="85"/>
    </row>
    <row r="881" spans="9:9" ht="13.2">
      <c r="I881" s="85"/>
    </row>
    <row r="882" spans="9:9" ht="13.2">
      <c r="I882" s="85"/>
    </row>
    <row r="883" spans="9:9" ht="13.2">
      <c r="I883" s="85"/>
    </row>
    <row r="884" spans="9:9" ht="13.2">
      <c r="I884" s="85"/>
    </row>
    <row r="885" spans="9:9" ht="13.2">
      <c r="I885" s="85"/>
    </row>
    <row r="886" spans="9:9" ht="13.2">
      <c r="I886" s="85"/>
    </row>
    <row r="887" spans="9:9" ht="13.2">
      <c r="I887" s="85"/>
    </row>
    <row r="888" spans="9:9" ht="13.2">
      <c r="I888" s="85"/>
    </row>
    <row r="889" spans="9:9" ht="13.2">
      <c r="I889" s="85"/>
    </row>
    <row r="890" spans="9:9" ht="13.2">
      <c r="I890" s="85"/>
    </row>
    <row r="891" spans="9:9" ht="13.2">
      <c r="I891" s="85"/>
    </row>
    <row r="892" spans="9:9" ht="13.2">
      <c r="I892" s="85"/>
    </row>
    <row r="893" spans="9:9" ht="13.2">
      <c r="I893" s="85"/>
    </row>
    <row r="894" spans="9:9" ht="13.2">
      <c r="I894" s="85"/>
    </row>
    <row r="895" spans="9:9" ht="13.2">
      <c r="I895" s="85"/>
    </row>
    <row r="896" spans="9:9" ht="13.2">
      <c r="I896" s="85"/>
    </row>
    <row r="897" spans="9:9" ht="13.2">
      <c r="I897" s="85"/>
    </row>
    <row r="898" spans="9:9" ht="13.2">
      <c r="I898" s="85"/>
    </row>
    <row r="899" spans="9:9" ht="13.2">
      <c r="I899" s="85"/>
    </row>
    <row r="900" spans="9:9" ht="13.2">
      <c r="I900" s="85"/>
    </row>
    <row r="901" spans="9:9" ht="13.2">
      <c r="I901" s="85"/>
    </row>
    <row r="902" spans="9:9" ht="13.2">
      <c r="I902" s="85"/>
    </row>
    <row r="903" spans="9:9" ht="13.2">
      <c r="I903" s="85"/>
    </row>
    <row r="904" spans="9:9" ht="13.2">
      <c r="I904" s="85"/>
    </row>
    <row r="905" spans="9:9" ht="13.2">
      <c r="I905" s="85"/>
    </row>
    <row r="906" spans="9:9" ht="13.2">
      <c r="I906" s="85"/>
    </row>
    <row r="907" spans="9:9" ht="13.2">
      <c r="I907" s="85"/>
    </row>
    <row r="908" spans="9:9" ht="13.2">
      <c r="I908" s="85"/>
    </row>
    <row r="909" spans="9:9" ht="13.2">
      <c r="I909" s="85"/>
    </row>
    <row r="910" spans="9:9" ht="13.2">
      <c r="I910" s="85"/>
    </row>
    <row r="911" spans="9:9" ht="13.2">
      <c r="I911" s="85"/>
    </row>
    <row r="912" spans="9:9" ht="13.2">
      <c r="I912" s="85"/>
    </row>
    <row r="913" spans="9:9" ht="13.2">
      <c r="I913" s="85"/>
    </row>
    <row r="914" spans="9:9" ht="13.2">
      <c r="I914" s="85"/>
    </row>
    <row r="915" spans="9:9" ht="13.2">
      <c r="I915" s="85"/>
    </row>
    <row r="916" spans="9:9" ht="13.2">
      <c r="I916" s="85"/>
    </row>
    <row r="917" spans="9:9" ht="13.2">
      <c r="I917" s="85"/>
    </row>
    <row r="918" spans="9:9" ht="13.2">
      <c r="I918" s="85"/>
    </row>
    <row r="919" spans="9:9" ht="13.2">
      <c r="I919" s="85"/>
    </row>
    <row r="920" spans="9:9" ht="13.2">
      <c r="I920" s="85"/>
    </row>
    <row r="921" spans="9:9" ht="13.2">
      <c r="I921" s="85"/>
    </row>
    <row r="922" spans="9:9" ht="13.2">
      <c r="I922" s="85"/>
    </row>
    <row r="923" spans="9:9" ht="13.2">
      <c r="I923" s="85"/>
    </row>
    <row r="924" spans="9:9" ht="13.2">
      <c r="I924" s="85"/>
    </row>
    <row r="925" spans="9:9" ht="13.2">
      <c r="I925" s="85"/>
    </row>
    <row r="926" spans="9:9" ht="13.2">
      <c r="I926" s="85"/>
    </row>
    <row r="927" spans="9:9" ht="13.2">
      <c r="I927" s="85"/>
    </row>
    <row r="928" spans="9:9" ht="13.2">
      <c r="I928" s="85"/>
    </row>
    <row r="929" spans="9:9" ht="13.2">
      <c r="I929" s="85"/>
    </row>
    <row r="930" spans="9:9" ht="13.2">
      <c r="I930" s="85"/>
    </row>
    <row r="931" spans="9:9" ht="13.2">
      <c r="I931" s="85"/>
    </row>
    <row r="932" spans="9:9" ht="13.2">
      <c r="I932" s="85"/>
    </row>
    <row r="933" spans="9:9" ht="13.2">
      <c r="I933" s="85"/>
    </row>
    <row r="934" spans="9:9" ht="13.2">
      <c r="I934" s="85"/>
    </row>
    <row r="935" spans="9:9" ht="13.2">
      <c r="I935" s="85"/>
    </row>
    <row r="936" spans="9:9" ht="13.2">
      <c r="I936" s="85"/>
    </row>
    <row r="937" spans="9:9" ht="13.2">
      <c r="I937" s="85"/>
    </row>
    <row r="938" spans="9:9" ht="13.2">
      <c r="I938" s="85"/>
    </row>
    <row r="939" spans="9:9" ht="13.2">
      <c r="I939" s="85"/>
    </row>
    <row r="940" spans="9:9" ht="13.2">
      <c r="I940" s="85"/>
    </row>
    <row r="941" spans="9:9" ht="13.2">
      <c r="I941" s="85"/>
    </row>
    <row r="942" spans="9:9" ht="13.2">
      <c r="I942" s="85"/>
    </row>
    <row r="943" spans="9:9" ht="13.2">
      <c r="I943" s="85"/>
    </row>
    <row r="944" spans="9:9" ht="13.2">
      <c r="I944" s="85"/>
    </row>
    <row r="945" spans="9:9" ht="13.2">
      <c r="I945" s="85"/>
    </row>
    <row r="946" spans="9:9" ht="13.2">
      <c r="I946" s="85"/>
    </row>
    <row r="947" spans="9:9" ht="13.2">
      <c r="I947" s="85"/>
    </row>
    <row r="948" spans="9:9" ht="13.2">
      <c r="I948" s="85"/>
    </row>
    <row r="949" spans="9:9" ht="13.2">
      <c r="I949" s="85"/>
    </row>
    <row r="950" spans="9:9" ht="13.2">
      <c r="I950" s="85"/>
    </row>
    <row r="951" spans="9:9" ht="13.2">
      <c r="I951" s="85"/>
    </row>
    <row r="952" spans="9:9" ht="13.2">
      <c r="I952" s="85"/>
    </row>
    <row r="953" spans="9:9" ht="13.2">
      <c r="I953" s="85"/>
    </row>
    <row r="954" spans="9:9" ht="13.2">
      <c r="I954" s="85"/>
    </row>
    <row r="955" spans="9:9" ht="13.2">
      <c r="I955" s="85"/>
    </row>
    <row r="956" spans="9:9" ht="13.2">
      <c r="I956" s="85"/>
    </row>
    <row r="957" spans="9:9" ht="13.2">
      <c r="I957" s="85"/>
    </row>
    <row r="958" spans="9:9" ht="13.2">
      <c r="I958" s="85"/>
    </row>
    <row r="959" spans="9:9" ht="13.2">
      <c r="I959" s="85"/>
    </row>
    <row r="960" spans="9:9" ht="13.2">
      <c r="I960" s="85"/>
    </row>
    <row r="961" spans="9:9" ht="13.2">
      <c r="I961" s="85"/>
    </row>
    <row r="962" spans="9:9" ht="13.2">
      <c r="I962" s="85"/>
    </row>
    <row r="963" spans="9:9" ht="13.2">
      <c r="I963" s="85"/>
    </row>
    <row r="964" spans="9:9" ht="13.2">
      <c r="I964" s="85"/>
    </row>
    <row r="965" spans="9:9" ht="13.2">
      <c r="I965" s="85"/>
    </row>
    <row r="966" spans="9:9" ht="13.2">
      <c r="I966" s="85"/>
    </row>
    <row r="967" spans="9:9" ht="13.2">
      <c r="I967" s="85"/>
    </row>
    <row r="968" spans="9:9" ht="13.2">
      <c r="I968" s="85"/>
    </row>
    <row r="969" spans="9:9" ht="13.2">
      <c r="I969" s="85"/>
    </row>
    <row r="970" spans="9:9" ht="13.2">
      <c r="I970" s="85"/>
    </row>
    <row r="971" spans="9:9" ht="13.2">
      <c r="I971" s="85"/>
    </row>
    <row r="972" spans="9:9" ht="13.2">
      <c r="I972" s="85"/>
    </row>
    <row r="973" spans="9:9" ht="13.2">
      <c r="I973" s="85"/>
    </row>
    <row r="974" spans="9:9" ht="13.2">
      <c r="I974" s="85"/>
    </row>
    <row r="975" spans="9:9" ht="13.2">
      <c r="I975" s="85"/>
    </row>
    <row r="976" spans="9:9" ht="13.2">
      <c r="I976" s="85"/>
    </row>
    <row r="977" spans="9:9" ht="13.2">
      <c r="I977" s="85"/>
    </row>
    <row r="978" spans="9:9" ht="13.2">
      <c r="I978" s="85"/>
    </row>
    <row r="979" spans="9:9" ht="13.2">
      <c r="I979" s="85"/>
    </row>
    <row r="980" spans="9:9" ht="13.2">
      <c r="I980" s="85"/>
    </row>
    <row r="981" spans="9:9" ht="13.2">
      <c r="I981" s="85"/>
    </row>
    <row r="982" spans="9:9" ht="13.2">
      <c r="I982" s="85"/>
    </row>
    <row r="983" spans="9:9" ht="13.2">
      <c r="I983" s="85"/>
    </row>
    <row r="984" spans="9:9" ht="13.2">
      <c r="I984" s="85"/>
    </row>
    <row r="985" spans="9:9" ht="13.2">
      <c r="I985" s="85"/>
    </row>
    <row r="986" spans="9:9" ht="13.2">
      <c r="I986" s="85"/>
    </row>
    <row r="987" spans="9:9" ht="13.2">
      <c r="I987" s="85"/>
    </row>
    <row r="988" spans="9:9" ht="13.2">
      <c r="I988" s="85"/>
    </row>
    <row r="989" spans="9:9" ht="13.2">
      <c r="I989" s="85"/>
    </row>
    <row r="990" spans="9:9" ht="13.2">
      <c r="I990" s="85"/>
    </row>
    <row r="991" spans="9:9" ht="13.2">
      <c r="I991" s="85"/>
    </row>
    <row r="992" spans="9:9" ht="13.2">
      <c r="I992" s="85"/>
    </row>
    <row r="993" spans="9:9" ht="13.2">
      <c r="I993" s="85"/>
    </row>
    <row r="994" spans="9:9" ht="13.2">
      <c r="I994" s="85"/>
    </row>
    <row r="995" spans="9:9" ht="13.2">
      <c r="I995" s="85"/>
    </row>
    <row r="996" spans="9:9" ht="13.2">
      <c r="I996" s="85"/>
    </row>
    <row r="997" spans="9:9" ht="13.2">
      <c r="I997" s="85"/>
    </row>
    <row r="998" spans="9:9" ht="13.2">
      <c r="I998" s="85"/>
    </row>
    <row r="999" spans="9:9" ht="13.2">
      <c r="I999" s="85"/>
    </row>
    <row r="1000" spans="9:9" ht="13.2">
      <c r="I1000" s="85"/>
    </row>
  </sheetData>
  <mergeCells count="109">
    <mergeCell ref="A72:B72"/>
    <mergeCell ref="C72:D72"/>
    <mergeCell ref="E72:F72"/>
    <mergeCell ref="G72:H72"/>
    <mergeCell ref="I72:J72"/>
    <mergeCell ref="K72:L72"/>
    <mergeCell ref="A73:B73"/>
    <mergeCell ref="C73:L73"/>
    <mergeCell ref="A60:B60"/>
    <mergeCell ref="A61:A71"/>
    <mergeCell ref="E61:F61"/>
    <mergeCell ref="G61:H61"/>
    <mergeCell ref="K62:L62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C70:D70"/>
    <mergeCell ref="E70:F70"/>
    <mergeCell ref="G70:H70"/>
    <mergeCell ref="N64:O64"/>
    <mergeCell ref="P64:R64"/>
    <mergeCell ref="P65:R65"/>
    <mergeCell ref="K70:L70"/>
    <mergeCell ref="C71:D71"/>
    <mergeCell ref="E71:F71"/>
    <mergeCell ref="G71:H71"/>
    <mergeCell ref="I71:J71"/>
    <mergeCell ref="K71:L71"/>
    <mergeCell ref="I70:J70"/>
    <mergeCell ref="N61:O61"/>
    <mergeCell ref="P61:R61"/>
    <mergeCell ref="C62:D62"/>
    <mergeCell ref="E62:F62"/>
    <mergeCell ref="G62:H62"/>
    <mergeCell ref="I62:J62"/>
    <mergeCell ref="N62:O62"/>
    <mergeCell ref="P62:R62"/>
    <mergeCell ref="E63:F63"/>
    <mergeCell ref="G63:H63"/>
    <mergeCell ref="N63:O63"/>
    <mergeCell ref="P63:R63"/>
    <mergeCell ref="A1:R1"/>
    <mergeCell ref="A2:D2"/>
    <mergeCell ref="E2:J2"/>
    <mergeCell ref="K2:R2"/>
    <mergeCell ref="A3:B3"/>
    <mergeCell ref="C3:D3"/>
    <mergeCell ref="E3:J3"/>
    <mergeCell ref="N5:O5"/>
    <mergeCell ref="P5:Q5"/>
    <mergeCell ref="K3:R3"/>
    <mergeCell ref="A4:R4"/>
    <mergeCell ref="A5:A7"/>
    <mergeCell ref="B5:B7"/>
    <mergeCell ref="C5:D5"/>
    <mergeCell ref="E5:F5"/>
    <mergeCell ref="G5:H5"/>
    <mergeCell ref="R5:R7"/>
    <mergeCell ref="I5:J5"/>
    <mergeCell ref="K5:L5"/>
    <mergeCell ref="N65:O65"/>
    <mergeCell ref="N66:O66"/>
    <mergeCell ref="P66:R66"/>
    <mergeCell ref="N67:O67"/>
    <mergeCell ref="P67:R67"/>
    <mergeCell ref="N68:O68"/>
    <mergeCell ref="P68:R68"/>
    <mergeCell ref="P72:Q72"/>
    <mergeCell ref="N73:R73"/>
    <mergeCell ref="N69:O69"/>
    <mergeCell ref="P69:R69"/>
    <mergeCell ref="N70:O70"/>
    <mergeCell ref="P70:R70"/>
    <mergeCell ref="N71:O71"/>
    <mergeCell ref="P71:R71"/>
    <mergeCell ref="N72:O72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C61:D61"/>
    <mergeCell ref="C63:D63"/>
    <mergeCell ref="I63:J63"/>
    <mergeCell ref="K63:L63"/>
    <mergeCell ref="C64:D64"/>
    <mergeCell ref="E64:F64"/>
    <mergeCell ref="G64:H64"/>
    <mergeCell ref="I64:J64"/>
    <mergeCell ref="K64:L64"/>
    <mergeCell ref="I61:J61"/>
    <mergeCell ref="K61:L6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66"/>
  <sheetViews>
    <sheetView workbookViewId="0">
      <selection sqref="A1:X1"/>
    </sheetView>
  </sheetViews>
  <sheetFormatPr defaultColWidth="12.6640625" defaultRowHeight="15.75" customHeight="1"/>
  <cols>
    <col min="2" max="2" width="22" customWidth="1"/>
    <col min="4" max="4" width="2.109375" customWidth="1"/>
    <col min="5" max="5" width="3.44140625" customWidth="1"/>
    <col min="6" max="6" width="2" customWidth="1"/>
    <col min="7" max="7" width="2.21875" customWidth="1"/>
    <col min="8" max="8" width="4.44140625" customWidth="1"/>
    <col min="9" max="9" width="2.88671875" customWidth="1"/>
    <col min="10" max="10" width="1.77734375" customWidth="1"/>
  </cols>
  <sheetData>
    <row r="1" spans="1:24" ht="15.75" customHeight="1">
      <c r="A1" s="392" t="s">
        <v>87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</row>
    <row r="2" spans="1:24" ht="15.75" customHeight="1">
      <c r="A2" s="373" t="s">
        <v>0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74" t="s">
        <v>1</v>
      </c>
      <c r="M2" s="366"/>
      <c r="N2" s="366"/>
      <c r="O2" s="366"/>
      <c r="P2" s="366"/>
      <c r="Q2" s="366"/>
      <c r="R2" s="375" t="s">
        <v>2</v>
      </c>
      <c r="S2" s="366"/>
      <c r="T2" s="366"/>
      <c r="U2" s="366"/>
      <c r="V2" s="366"/>
      <c r="W2" s="366"/>
      <c r="X2" s="366"/>
    </row>
    <row r="3" spans="1:24" ht="15.75" customHeight="1">
      <c r="A3" s="383" t="s">
        <v>141</v>
      </c>
      <c r="B3" s="366"/>
      <c r="C3" s="374" t="s">
        <v>142</v>
      </c>
      <c r="D3" s="366"/>
      <c r="E3" s="366"/>
      <c r="F3" s="366"/>
      <c r="G3" s="366"/>
      <c r="H3" s="366"/>
      <c r="I3" s="366"/>
      <c r="J3" s="366"/>
      <c r="K3" s="366"/>
      <c r="L3" s="374" t="s">
        <v>4</v>
      </c>
      <c r="M3" s="366"/>
      <c r="N3" s="366"/>
      <c r="O3" s="366"/>
      <c r="P3" s="366"/>
      <c r="Q3" s="366"/>
      <c r="R3" s="374" t="s">
        <v>5</v>
      </c>
      <c r="S3" s="366"/>
      <c r="T3" s="366"/>
      <c r="U3" s="366"/>
      <c r="V3" s="366"/>
      <c r="W3" s="366"/>
      <c r="X3" s="366"/>
    </row>
    <row r="4" spans="1:24" ht="15.75" customHeight="1">
      <c r="A4" s="377" t="s">
        <v>143</v>
      </c>
      <c r="B4" s="378"/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8"/>
      <c r="O4" s="378"/>
      <c r="P4" s="378"/>
      <c r="Q4" s="378"/>
      <c r="R4" s="378"/>
      <c r="S4" s="378"/>
      <c r="T4" s="378"/>
      <c r="U4" s="378"/>
      <c r="V4" s="378"/>
      <c r="W4" s="378"/>
      <c r="X4" s="378"/>
    </row>
    <row r="5" spans="1:24">
      <c r="A5" s="384" t="s">
        <v>7</v>
      </c>
      <c r="B5" s="385" t="s">
        <v>8</v>
      </c>
      <c r="C5" s="379" t="s">
        <v>9</v>
      </c>
      <c r="D5" s="378"/>
      <c r="E5" s="378"/>
      <c r="F5" s="378"/>
      <c r="G5" s="378"/>
      <c r="H5" s="378"/>
      <c r="I5" s="378"/>
      <c r="J5" s="378"/>
      <c r="K5" s="360"/>
      <c r="L5" s="379" t="s">
        <v>10</v>
      </c>
      <c r="M5" s="360"/>
      <c r="N5" s="379" t="s">
        <v>11</v>
      </c>
      <c r="O5" s="360"/>
      <c r="P5" s="379" t="s">
        <v>12</v>
      </c>
      <c r="Q5" s="360"/>
      <c r="R5" s="379" t="s">
        <v>13</v>
      </c>
      <c r="S5" s="360"/>
      <c r="T5" s="379" t="s">
        <v>14</v>
      </c>
      <c r="U5" s="360"/>
      <c r="V5" s="367" t="s">
        <v>15</v>
      </c>
      <c r="W5" s="362"/>
      <c r="X5" s="380" t="s">
        <v>16</v>
      </c>
    </row>
    <row r="6" spans="1:24">
      <c r="A6" s="381"/>
      <c r="B6" s="381"/>
      <c r="C6" s="4" t="s">
        <v>17</v>
      </c>
      <c r="D6" s="4"/>
      <c r="E6" s="4"/>
      <c r="F6" s="4"/>
      <c r="G6" s="4"/>
      <c r="H6" s="4"/>
      <c r="I6" s="4"/>
      <c r="J6" s="4"/>
      <c r="K6" s="5">
        <v>40</v>
      </c>
      <c r="L6" s="4" t="s">
        <v>17</v>
      </c>
      <c r="M6" s="5">
        <v>40</v>
      </c>
      <c r="N6" s="4" t="s">
        <v>17</v>
      </c>
      <c r="O6" s="5">
        <v>40</v>
      </c>
      <c r="P6" s="4" t="s">
        <v>17</v>
      </c>
      <c r="Q6" s="5">
        <v>40</v>
      </c>
      <c r="R6" s="4" t="s">
        <v>17</v>
      </c>
      <c r="S6" s="5">
        <v>40</v>
      </c>
      <c r="T6" s="4" t="s">
        <v>17</v>
      </c>
      <c r="U6" s="5">
        <v>40</v>
      </c>
      <c r="V6" s="4" t="s">
        <v>17</v>
      </c>
      <c r="W6" s="5">
        <v>600</v>
      </c>
      <c r="X6" s="381"/>
    </row>
    <row r="7" spans="1:24">
      <c r="A7" s="382"/>
      <c r="B7" s="382"/>
      <c r="C7" s="6" t="s">
        <v>18</v>
      </c>
      <c r="D7" s="6"/>
      <c r="E7" s="6"/>
      <c r="F7" s="6"/>
      <c r="G7" s="6"/>
      <c r="H7" s="6"/>
      <c r="I7" s="6"/>
      <c r="J7" s="6"/>
      <c r="K7" s="6" t="s">
        <v>19</v>
      </c>
      <c r="L7" s="6" t="s">
        <v>18</v>
      </c>
      <c r="M7" s="6" t="s">
        <v>19</v>
      </c>
      <c r="N7" s="6" t="s">
        <v>18</v>
      </c>
      <c r="O7" s="6" t="s">
        <v>19</v>
      </c>
      <c r="P7" s="6" t="s">
        <v>18</v>
      </c>
      <c r="Q7" s="6" t="s">
        <v>19</v>
      </c>
      <c r="R7" s="6" t="s">
        <v>18</v>
      </c>
      <c r="S7" s="6" t="s">
        <v>19</v>
      </c>
      <c r="T7" s="6" t="s">
        <v>18</v>
      </c>
      <c r="U7" s="6" t="s">
        <v>19</v>
      </c>
      <c r="V7" s="6" t="s">
        <v>18</v>
      </c>
      <c r="W7" s="6" t="s">
        <v>19</v>
      </c>
      <c r="X7" s="382"/>
    </row>
    <row r="8" spans="1:24" ht="15.75" customHeight="1">
      <c r="A8" s="86">
        <v>1</v>
      </c>
      <c r="B8" s="8" t="s">
        <v>144</v>
      </c>
      <c r="C8" s="41">
        <v>32</v>
      </c>
      <c r="D8" s="41"/>
      <c r="E8" s="41"/>
      <c r="F8" s="41"/>
      <c r="G8" s="41"/>
      <c r="H8" s="41"/>
      <c r="I8" s="41"/>
      <c r="J8" s="41"/>
      <c r="K8" s="12">
        <f t="shared" ref="K8:K52" si="0">IF(C8="","",IF(C8="AB",AB,IF(C8="TC","TC",(C8/K$6)*100)))</f>
        <v>80</v>
      </c>
      <c r="L8" s="60">
        <v>32</v>
      </c>
      <c r="M8" s="12">
        <f t="shared" ref="M8:M15" si="1">IF(L8="","",IF(L8="AB",AB,IF(L8="TC","TC",(L8/M$6)*100)))</f>
        <v>80</v>
      </c>
      <c r="N8" s="41">
        <v>36</v>
      </c>
      <c r="O8" s="14">
        <f t="shared" ref="O8:O53" si="2">IF(N8="","",IF(N8="AB",AB,IF(N8="TC","TC",(N8/O$6)*100)))</f>
        <v>90</v>
      </c>
      <c r="P8" s="78">
        <v>36</v>
      </c>
      <c r="Q8" s="15">
        <f t="shared" ref="Q8:Q51" si="3">IF(P8="","",IF(P8="AB",AB,IF(P8="TC","TC",(P8/Q$6)*100)))</f>
        <v>90</v>
      </c>
      <c r="R8" s="62">
        <v>34</v>
      </c>
      <c r="S8" s="12">
        <f t="shared" ref="S8:S50" si="4">IF(R8="","",IF(R8="AB",AB,IF(R8="TC","TC",(R8/S$6)*100)))</f>
        <v>85</v>
      </c>
      <c r="T8" s="12">
        <v>38</v>
      </c>
      <c r="U8" s="12">
        <f t="shared" ref="U8:U50" si="5">IF(T8="","",IF(T8="AB",AB,IF(T8="TC","TC",(T8/U$6)*100)))</f>
        <v>95</v>
      </c>
      <c r="V8" s="12">
        <f t="shared" ref="V8:V48" si="6">SUM(K8,M8,O8,Q8,S8,U8)</f>
        <v>520</v>
      </c>
      <c r="W8" s="17">
        <f t="shared" ref="W8:W49" si="7">IF(V8="","",IF(V8="AB","AB",(V8/W$6)*100))</f>
        <v>86.666666666666671</v>
      </c>
      <c r="X8" s="22"/>
    </row>
    <row r="9" spans="1:24" ht="15.75" customHeight="1">
      <c r="A9" s="86">
        <v>2</v>
      </c>
      <c r="B9" s="19" t="s">
        <v>145</v>
      </c>
      <c r="C9" s="41">
        <v>32</v>
      </c>
      <c r="D9" s="41"/>
      <c r="E9" s="41"/>
      <c r="F9" s="41"/>
      <c r="G9" s="41"/>
      <c r="H9" s="41"/>
      <c r="I9" s="41"/>
      <c r="J9" s="41"/>
      <c r="K9" s="12">
        <f t="shared" si="0"/>
        <v>80</v>
      </c>
      <c r="L9" s="60">
        <v>32</v>
      </c>
      <c r="M9" s="12">
        <f t="shared" si="1"/>
        <v>80</v>
      </c>
      <c r="N9" s="41">
        <v>32</v>
      </c>
      <c r="O9" s="14">
        <f t="shared" si="2"/>
        <v>80</v>
      </c>
      <c r="P9" s="60">
        <v>36</v>
      </c>
      <c r="Q9" s="15">
        <f t="shared" si="3"/>
        <v>90</v>
      </c>
      <c r="R9" s="62">
        <v>36</v>
      </c>
      <c r="S9" s="12">
        <f t="shared" si="4"/>
        <v>90</v>
      </c>
      <c r="T9" s="12">
        <v>33</v>
      </c>
      <c r="U9" s="12">
        <f t="shared" si="5"/>
        <v>82.5</v>
      </c>
      <c r="V9" s="12">
        <f t="shared" si="6"/>
        <v>502.5</v>
      </c>
      <c r="W9" s="17">
        <f t="shared" si="7"/>
        <v>83.75</v>
      </c>
      <c r="X9" s="22"/>
    </row>
    <row r="10" spans="1:24" ht="15.75" customHeight="1">
      <c r="A10" s="86">
        <v>3</v>
      </c>
      <c r="B10" s="19" t="s">
        <v>146</v>
      </c>
      <c r="C10" s="41">
        <v>22</v>
      </c>
      <c r="D10" s="41"/>
      <c r="E10" s="41"/>
      <c r="F10" s="41"/>
      <c r="G10" s="41"/>
      <c r="H10" s="41"/>
      <c r="I10" s="41"/>
      <c r="J10" s="41"/>
      <c r="K10" s="12">
        <f t="shared" si="0"/>
        <v>55.000000000000007</v>
      </c>
      <c r="L10" s="60">
        <v>16</v>
      </c>
      <c r="M10" s="12">
        <f t="shared" si="1"/>
        <v>40</v>
      </c>
      <c r="N10" s="41">
        <v>24</v>
      </c>
      <c r="O10" s="14">
        <f t="shared" si="2"/>
        <v>60</v>
      </c>
      <c r="P10" s="60">
        <v>24</v>
      </c>
      <c r="Q10" s="15">
        <f t="shared" si="3"/>
        <v>60</v>
      </c>
      <c r="R10" s="62">
        <v>17</v>
      </c>
      <c r="S10" s="12">
        <f t="shared" si="4"/>
        <v>42.5</v>
      </c>
      <c r="T10" s="12">
        <v>22</v>
      </c>
      <c r="U10" s="12">
        <f t="shared" si="5"/>
        <v>55.000000000000007</v>
      </c>
      <c r="V10" s="12">
        <f t="shared" si="6"/>
        <v>312.5</v>
      </c>
      <c r="W10" s="17">
        <f t="shared" si="7"/>
        <v>52.083333333333336</v>
      </c>
      <c r="X10" s="22"/>
    </row>
    <row r="11" spans="1:24" ht="15.75" customHeight="1">
      <c r="A11" s="86">
        <v>4</v>
      </c>
      <c r="B11" s="19" t="s">
        <v>147</v>
      </c>
      <c r="C11" s="41">
        <v>18</v>
      </c>
      <c r="D11" s="41"/>
      <c r="E11" s="41"/>
      <c r="F11" s="41"/>
      <c r="G11" s="41"/>
      <c r="H11" s="41"/>
      <c r="I11" s="41"/>
      <c r="J11" s="41"/>
      <c r="K11" s="12">
        <f t="shared" si="0"/>
        <v>45</v>
      </c>
      <c r="L11" s="60">
        <v>13</v>
      </c>
      <c r="M11" s="12">
        <f t="shared" si="1"/>
        <v>32.5</v>
      </c>
      <c r="N11" s="41">
        <v>17</v>
      </c>
      <c r="O11" s="14">
        <f t="shared" si="2"/>
        <v>42.5</v>
      </c>
      <c r="P11" s="60">
        <v>15</v>
      </c>
      <c r="Q11" s="15">
        <f t="shared" si="3"/>
        <v>37.5</v>
      </c>
      <c r="R11" s="62">
        <v>17</v>
      </c>
      <c r="S11" s="12">
        <f t="shared" si="4"/>
        <v>42.5</v>
      </c>
      <c r="T11" s="12">
        <v>21</v>
      </c>
      <c r="U11" s="12">
        <f t="shared" si="5"/>
        <v>52.5</v>
      </c>
      <c r="V11" s="12">
        <f t="shared" si="6"/>
        <v>252.5</v>
      </c>
      <c r="W11" s="17">
        <f t="shared" si="7"/>
        <v>42.083333333333336</v>
      </c>
      <c r="X11" s="22"/>
    </row>
    <row r="12" spans="1:24" ht="15.75" customHeight="1">
      <c r="A12" s="86">
        <v>5</v>
      </c>
      <c r="B12" s="19" t="s">
        <v>148</v>
      </c>
      <c r="C12" s="41">
        <v>24</v>
      </c>
      <c r="D12" s="41"/>
      <c r="E12" s="41"/>
      <c r="F12" s="41"/>
      <c r="G12" s="41"/>
      <c r="H12" s="41"/>
      <c r="I12" s="41"/>
      <c r="J12" s="41"/>
      <c r="K12" s="12">
        <f t="shared" si="0"/>
        <v>60</v>
      </c>
      <c r="L12" s="60">
        <v>20</v>
      </c>
      <c r="M12" s="12">
        <f t="shared" si="1"/>
        <v>50</v>
      </c>
      <c r="N12" s="41">
        <v>34</v>
      </c>
      <c r="O12" s="14">
        <f t="shared" si="2"/>
        <v>85</v>
      </c>
      <c r="P12" s="60">
        <v>28</v>
      </c>
      <c r="Q12" s="15">
        <f t="shared" si="3"/>
        <v>70</v>
      </c>
      <c r="R12" s="62">
        <v>20</v>
      </c>
      <c r="S12" s="12">
        <f t="shared" si="4"/>
        <v>50</v>
      </c>
      <c r="T12" s="12">
        <v>29</v>
      </c>
      <c r="U12" s="12">
        <f t="shared" si="5"/>
        <v>72.5</v>
      </c>
      <c r="V12" s="12">
        <f t="shared" si="6"/>
        <v>387.5</v>
      </c>
      <c r="W12" s="17">
        <f t="shared" si="7"/>
        <v>64.583333333333343</v>
      </c>
      <c r="X12" s="22"/>
    </row>
    <row r="13" spans="1:24" ht="15.75" customHeight="1">
      <c r="A13" s="86">
        <v>6</v>
      </c>
      <c r="B13" s="19" t="s">
        <v>149</v>
      </c>
      <c r="C13" s="22">
        <v>34</v>
      </c>
      <c r="D13" s="22"/>
      <c r="E13" s="22"/>
      <c r="F13" s="22"/>
      <c r="G13" s="22"/>
      <c r="H13" s="22"/>
      <c r="I13" s="22"/>
      <c r="J13" s="22"/>
      <c r="K13" s="12">
        <f t="shared" si="0"/>
        <v>85</v>
      </c>
      <c r="L13" s="60">
        <v>25</v>
      </c>
      <c r="M13" s="12">
        <f t="shared" si="1"/>
        <v>62.5</v>
      </c>
      <c r="N13" s="41">
        <v>28</v>
      </c>
      <c r="O13" s="14">
        <f t="shared" si="2"/>
        <v>70</v>
      </c>
      <c r="P13" s="60">
        <v>32</v>
      </c>
      <c r="Q13" s="15">
        <f t="shared" si="3"/>
        <v>80</v>
      </c>
      <c r="R13" s="66">
        <v>35</v>
      </c>
      <c r="S13" s="12">
        <f t="shared" si="4"/>
        <v>87.5</v>
      </c>
      <c r="T13" s="12">
        <v>36</v>
      </c>
      <c r="U13" s="12">
        <f t="shared" si="5"/>
        <v>90</v>
      </c>
      <c r="V13" s="12">
        <f t="shared" si="6"/>
        <v>475</v>
      </c>
      <c r="W13" s="17">
        <f t="shared" si="7"/>
        <v>79.166666666666657</v>
      </c>
      <c r="X13" s="22"/>
    </row>
    <row r="14" spans="1:24" ht="15.75" customHeight="1">
      <c r="A14" s="86">
        <v>7</v>
      </c>
      <c r="B14" s="19" t="s">
        <v>150</v>
      </c>
      <c r="C14" s="41">
        <v>30</v>
      </c>
      <c r="D14" s="41"/>
      <c r="E14" s="41"/>
      <c r="F14" s="41"/>
      <c r="G14" s="41"/>
      <c r="H14" s="41"/>
      <c r="I14" s="41"/>
      <c r="J14" s="41"/>
      <c r="K14" s="12">
        <f t="shared" si="0"/>
        <v>75</v>
      </c>
      <c r="L14" s="60">
        <v>27</v>
      </c>
      <c r="M14" s="12">
        <f t="shared" si="1"/>
        <v>67.5</v>
      </c>
      <c r="N14" s="41">
        <v>24</v>
      </c>
      <c r="O14" s="14">
        <f t="shared" si="2"/>
        <v>60</v>
      </c>
      <c r="P14" s="60">
        <v>34</v>
      </c>
      <c r="Q14" s="15">
        <f t="shared" si="3"/>
        <v>85</v>
      </c>
      <c r="R14" s="87">
        <v>33</v>
      </c>
      <c r="S14" s="12">
        <f t="shared" si="4"/>
        <v>82.5</v>
      </c>
      <c r="T14" s="12">
        <v>35</v>
      </c>
      <c r="U14" s="12">
        <f t="shared" si="5"/>
        <v>87.5</v>
      </c>
      <c r="V14" s="12">
        <f t="shared" si="6"/>
        <v>457.5</v>
      </c>
      <c r="W14" s="17">
        <f t="shared" si="7"/>
        <v>76.25</v>
      </c>
      <c r="X14" s="22"/>
    </row>
    <row r="15" spans="1:24" ht="15.75" customHeight="1">
      <c r="A15" s="86">
        <v>8</v>
      </c>
      <c r="B15" s="19" t="s">
        <v>151</v>
      </c>
      <c r="C15" s="41">
        <v>34</v>
      </c>
      <c r="D15" s="41"/>
      <c r="E15" s="41"/>
      <c r="F15" s="41"/>
      <c r="G15" s="41"/>
      <c r="H15" s="41"/>
      <c r="I15" s="41"/>
      <c r="J15" s="41"/>
      <c r="K15" s="12">
        <f t="shared" si="0"/>
        <v>85</v>
      </c>
      <c r="L15" s="60">
        <v>35</v>
      </c>
      <c r="M15" s="12">
        <f t="shared" si="1"/>
        <v>87.5</v>
      </c>
      <c r="N15" s="13">
        <v>37</v>
      </c>
      <c r="O15" s="14">
        <f t="shared" si="2"/>
        <v>92.5</v>
      </c>
      <c r="P15" s="60">
        <v>38</v>
      </c>
      <c r="Q15" s="15">
        <f t="shared" si="3"/>
        <v>95</v>
      </c>
      <c r="R15" s="62">
        <v>40</v>
      </c>
      <c r="S15" s="12">
        <f t="shared" si="4"/>
        <v>100</v>
      </c>
      <c r="T15" s="12">
        <v>40</v>
      </c>
      <c r="U15" s="12">
        <f t="shared" si="5"/>
        <v>100</v>
      </c>
      <c r="V15" s="12">
        <f t="shared" si="6"/>
        <v>560</v>
      </c>
      <c r="W15" s="17">
        <f t="shared" si="7"/>
        <v>93.333333333333329</v>
      </c>
      <c r="X15" s="22"/>
    </row>
    <row r="16" spans="1:24" ht="15.75" customHeight="1">
      <c r="A16" s="86">
        <v>9</v>
      </c>
      <c r="B16" s="19" t="s">
        <v>152</v>
      </c>
      <c r="C16" s="41">
        <v>29</v>
      </c>
      <c r="D16" s="41"/>
      <c r="E16" s="41"/>
      <c r="F16" s="41"/>
      <c r="G16" s="41"/>
      <c r="H16" s="41"/>
      <c r="I16" s="41"/>
      <c r="J16" s="41"/>
      <c r="K16" s="12">
        <f t="shared" si="0"/>
        <v>72.5</v>
      </c>
      <c r="L16" s="60">
        <v>20</v>
      </c>
      <c r="M16" s="12">
        <f>IF(L16="","",IF(L16="AB","AB",IF(L16="TC","TC",(L16/M$6)*100)))</f>
        <v>50</v>
      </c>
      <c r="N16" s="13">
        <v>18</v>
      </c>
      <c r="O16" s="14">
        <f t="shared" si="2"/>
        <v>45</v>
      </c>
      <c r="P16" s="60">
        <v>32</v>
      </c>
      <c r="Q16" s="15">
        <f t="shared" si="3"/>
        <v>80</v>
      </c>
      <c r="R16" s="62">
        <v>34</v>
      </c>
      <c r="S16" s="12">
        <f t="shared" si="4"/>
        <v>85</v>
      </c>
      <c r="T16" s="12">
        <v>35</v>
      </c>
      <c r="U16" s="12">
        <f t="shared" si="5"/>
        <v>87.5</v>
      </c>
      <c r="V16" s="12">
        <f t="shared" si="6"/>
        <v>420</v>
      </c>
      <c r="W16" s="17">
        <f t="shared" si="7"/>
        <v>70</v>
      </c>
      <c r="X16" s="22"/>
    </row>
    <row r="17" spans="1:24" ht="15.75" customHeight="1">
      <c r="A17" s="86">
        <v>10</v>
      </c>
      <c r="B17" s="19" t="s">
        <v>153</v>
      </c>
      <c r="C17" s="41">
        <v>32</v>
      </c>
      <c r="D17" s="41"/>
      <c r="E17" s="41"/>
      <c r="F17" s="41"/>
      <c r="G17" s="41"/>
      <c r="H17" s="41"/>
      <c r="I17" s="41"/>
      <c r="J17" s="41"/>
      <c r="K17" s="12">
        <f t="shared" si="0"/>
        <v>80</v>
      </c>
      <c r="L17" s="60">
        <v>24</v>
      </c>
      <c r="M17" s="12">
        <f t="shared" ref="M17:M53" si="8">IF(L17="","",IF(L17="AB",AB,IF(L17="TC","TC",(L17/M$6)*100)))</f>
        <v>60</v>
      </c>
      <c r="N17" s="13">
        <v>28</v>
      </c>
      <c r="O17" s="14">
        <f t="shared" si="2"/>
        <v>70</v>
      </c>
      <c r="P17" s="60">
        <v>32</v>
      </c>
      <c r="Q17" s="15">
        <f t="shared" si="3"/>
        <v>80</v>
      </c>
      <c r="R17" s="62">
        <v>25</v>
      </c>
      <c r="S17" s="12">
        <f t="shared" si="4"/>
        <v>62.5</v>
      </c>
      <c r="T17" s="12">
        <v>40</v>
      </c>
      <c r="U17" s="12">
        <f t="shared" si="5"/>
        <v>100</v>
      </c>
      <c r="V17" s="12">
        <f t="shared" si="6"/>
        <v>452.5</v>
      </c>
      <c r="W17" s="17">
        <f t="shared" si="7"/>
        <v>75.416666666666671</v>
      </c>
      <c r="X17" s="22"/>
    </row>
    <row r="18" spans="1:24" ht="15.75" customHeight="1">
      <c r="A18" s="86">
        <v>11</v>
      </c>
      <c r="B18" s="19" t="s">
        <v>154</v>
      </c>
      <c r="C18" s="41">
        <v>30</v>
      </c>
      <c r="D18" s="41"/>
      <c r="E18" s="41"/>
      <c r="F18" s="41"/>
      <c r="G18" s="41"/>
      <c r="H18" s="41"/>
      <c r="I18" s="41"/>
      <c r="J18" s="41"/>
      <c r="K18" s="12">
        <f t="shared" si="0"/>
        <v>75</v>
      </c>
      <c r="L18" s="60">
        <v>13</v>
      </c>
      <c r="M18" s="12">
        <f t="shared" si="8"/>
        <v>32.5</v>
      </c>
      <c r="N18" s="41">
        <v>31</v>
      </c>
      <c r="O18" s="14">
        <f t="shared" si="2"/>
        <v>77.5</v>
      </c>
      <c r="P18" s="60">
        <v>28</v>
      </c>
      <c r="Q18" s="15">
        <f t="shared" si="3"/>
        <v>70</v>
      </c>
      <c r="R18" s="62">
        <v>17</v>
      </c>
      <c r="S18" s="12">
        <f t="shared" si="4"/>
        <v>42.5</v>
      </c>
      <c r="T18" s="12">
        <v>30</v>
      </c>
      <c r="U18" s="12">
        <f t="shared" si="5"/>
        <v>75</v>
      </c>
      <c r="V18" s="12">
        <f t="shared" si="6"/>
        <v>372.5</v>
      </c>
      <c r="W18" s="17">
        <f t="shared" si="7"/>
        <v>62.083333333333336</v>
      </c>
      <c r="X18" s="22"/>
    </row>
    <row r="19" spans="1:24" ht="15.75" customHeight="1">
      <c r="A19" s="86">
        <v>12</v>
      </c>
      <c r="B19" s="19" t="s">
        <v>155</v>
      </c>
      <c r="C19" s="41">
        <v>27</v>
      </c>
      <c r="D19" s="41"/>
      <c r="E19" s="41"/>
      <c r="F19" s="41"/>
      <c r="G19" s="41"/>
      <c r="H19" s="41"/>
      <c r="I19" s="41"/>
      <c r="J19" s="41"/>
      <c r="K19" s="12">
        <f t="shared" si="0"/>
        <v>67.5</v>
      </c>
      <c r="L19" s="60">
        <v>35</v>
      </c>
      <c r="M19" s="12">
        <f t="shared" si="8"/>
        <v>87.5</v>
      </c>
      <c r="N19" s="41">
        <v>27</v>
      </c>
      <c r="O19" s="14">
        <f t="shared" si="2"/>
        <v>67.5</v>
      </c>
      <c r="P19" s="60">
        <v>34</v>
      </c>
      <c r="Q19" s="15">
        <f t="shared" si="3"/>
        <v>85</v>
      </c>
      <c r="R19" s="62">
        <v>27</v>
      </c>
      <c r="S19" s="12">
        <f t="shared" si="4"/>
        <v>67.5</v>
      </c>
      <c r="T19" s="12">
        <v>36</v>
      </c>
      <c r="U19" s="12">
        <f t="shared" si="5"/>
        <v>90</v>
      </c>
      <c r="V19" s="12">
        <f t="shared" si="6"/>
        <v>465</v>
      </c>
      <c r="W19" s="17">
        <f t="shared" si="7"/>
        <v>77.5</v>
      </c>
      <c r="X19" s="22"/>
    </row>
    <row r="20" spans="1:24" ht="15.75" customHeight="1">
      <c r="A20" s="86">
        <v>13</v>
      </c>
      <c r="B20" s="19" t="s">
        <v>156</v>
      </c>
      <c r="C20" s="41">
        <v>33</v>
      </c>
      <c r="D20" s="41"/>
      <c r="E20" s="41"/>
      <c r="F20" s="41"/>
      <c r="G20" s="41"/>
      <c r="H20" s="41"/>
      <c r="I20" s="41"/>
      <c r="J20" s="41"/>
      <c r="K20" s="12">
        <f t="shared" si="0"/>
        <v>82.5</v>
      </c>
      <c r="L20" s="60">
        <v>29</v>
      </c>
      <c r="M20" s="12">
        <f t="shared" si="8"/>
        <v>72.5</v>
      </c>
      <c r="N20" s="41">
        <v>28</v>
      </c>
      <c r="O20" s="14">
        <f t="shared" si="2"/>
        <v>70</v>
      </c>
      <c r="P20" s="60">
        <v>33</v>
      </c>
      <c r="Q20" s="15">
        <f t="shared" si="3"/>
        <v>82.5</v>
      </c>
      <c r="R20" s="62">
        <v>25</v>
      </c>
      <c r="S20" s="12">
        <f t="shared" si="4"/>
        <v>62.5</v>
      </c>
      <c r="T20" s="12">
        <v>35</v>
      </c>
      <c r="U20" s="12">
        <f t="shared" si="5"/>
        <v>87.5</v>
      </c>
      <c r="V20" s="12">
        <f t="shared" si="6"/>
        <v>457.5</v>
      </c>
      <c r="W20" s="17">
        <f t="shared" si="7"/>
        <v>76.25</v>
      </c>
      <c r="X20" s="22"/>
    </row>
    <row r="21" spans="1:24" ht="15.75" customHeight="1">
      <c r="A21" s="86">
        <v>14</v>
      </c>
      <c r="B21" s="19" t="s">
        <v>157</v>
      </c>
      <c r="C21" s="41">
        <v>37</v>
      </c>
      <c r="D21" s="41"/>
      <c r="E21" s="41"/>
      <c r="F21" s="41"/>
      <c r="G21" s="41"/>
      <c r="H21" s="41"/>
      <c r="I21" s="41"/>
      <c r="J21" s="41"/>
      <c r="K21" s="12">
        <f t="shared" si="0"/>
        <v>92.5</v>
      </c>
      <c r="L21" s="60">
        <v>26</v>
      </c>
      <c r="M21" s="12">
        <f t="shared" si="8"/>
        <v>65</v>
      </c>
      <c r="N21" s="41">
        <v>17</v>
      </c>
      <c r="O21" s="14">
        <f t="shared" si="2"/>
        <v>42.5</v>
      </c>
      <c r="P21" s="60">
        <v>33</v>
      </c>
      <c r="Q21" s="15">
        <f t="shared" si="3"/>
        <v>82.5</v>
      </c>
      <c r="R21" s="62">
        <v>26</v>
      </c>
      <c r="S21" s="12">
        <f t="shared" si="4"/>
        <v>65</v>
      </c>
      <c r="T21" s="12">
        <v>35</v>
      </c>
      <c r="U21" s="12">
        <f t="shared" si="5"/>
        <v>87.5</v>
      </c>
      <c r="V21" s="12">
        <f t="shared" si="6"/>
        <v>435</v>
      </c>
      <c r="W21" s="17">
        <f t="shared" si="7"/>
        <v>72.5</v>
      </c>
      <c r="X21" s="22"/>
    </row>
    <row r="22" spans="1:24" ht="15.75" customHeight="1">
      <c r="A22" s="86">
        <v>15</v>
      </c>
      <c r="B22" s="19" t="s">
        <v>158</v>
      </c>
      <c r="C22" s="41">
        <v>31</v>
      </c>
      <c r="D22" s="41"/>
      <c r="E22" s="41"/>
      <c r="F22" s="41"/>
      <c r="G22" s="41"/>
      <c r="H22" s="41"/>
      <c r="I22" s="41"/>
      <c r="J22" s="41"/>
      <c r="K22" s="12">
        <f t="shared" si="0"/>
        <v>77.5</v>
      </c>
      <c r="L22" s="60">
        <v>23</v>
      </c>
      <c r="M22" s="12">
        <f t="shared" si="8"/>
        <v>57.499999999999993</v>
      </c>
      <c r="N22" s="41">
        <v>22</v>
      </c>
      <c r="O22" s="14">
        <f t="shared" si="2"/>
        <v>55.000000000000007</v>
      </c>
      <c r="P22" s="60">
        <v>27</v>
      </c>
      <c r="Q22" s="15">
        <f t="shared" si="3"/>
        <v>67.5</v>
      </c>
      <c r="R22" s="62">
        <v>30</v>
      </c>
      <c r="S22" s="12">
        <f t="shared" si="4"/>
        <v>75</v>
      </c>
      <c r="T22" s="12">
        <v>33</v>
      </c>
      <c r="U22" s="12">
        <f t="shared" si="5"/>
        <v>82.5</v>
      </c>
      <c r="V22" s="12">
        <f t="shared" si="6"/>
        <v>415</v>
      </c>
      <c r="W22" s="17">
        <f t="shared" si="7"/>
        <v>69.166666666666671</v>
      </c>
      <c r="X22" s="22"/>
    </row>
    <row r="23" spans="1:24" ht="15.75" customHeight="1">
      <c r="A23" s="86">
        <v>16</v>
      </c>
      <c r="B23" s="19" t="s">
        <v>159</v>
      </c>
      <c r="C23" s="41">
        <v>38</v>
      </c>
      <c r="D23" s="41"/>
      <c r="E23" s="41"/>
      <c r="F23" s="41"/>
      <c r="G23" s="41"/>
      <c r="H23" s="41"/>
      <c r="I23" s="41"/>
      <c r="J23" s="41"/>
      <c r="K23" s="12">
        <f t="shared" si="0"/>
        <v>95</v>
      </c>
      <c r="L23" s="60">
        <v>38</v>
      </c>
      <c r="M23" s="12">
        <f t="shared" si="8"/>
        <v>95</v>
      </c>
      <c r="N23" s="41">
        <v>36</v>
      </c>
      <c r="O23" s="14">
        <f t="shared" si="2"/>
        <v>90</v>
      </c>
      <c r="P23" s="60">
        <v>39</v>
      </c>
      <c r="Q23" s="15">
        <f t="shared" si="3"/>
        <v>97.5</v>
      </c>
      <c r="R23" s="66">
        <v>35</v>
      </c>
      <c r="S23" s="12">
        <f t="shared" si="4"/>
        <v>87.5</v>
      </c>
      <c r="T23" s="12">
        <v>39</v>
      </c>
      <c r="U23" s="12">
        <f t="shared" si="5"/>
        <v>97.5</v>
      </c>
      <c r="V23" s="12">
        <f t="shared" si="6"/>
        <v>562.5</v>
      </c>
      <c r="W23" s="17">
        <f t="shared" si="7"/>
        <v>93.75</v>
      </c>
      <c r="X23" s="22"/>
    </row>
    <row r="24" spans="1:24" ht="15.75" customHeight="1">
      <c r="A24" s="86">
        <v>17</v>
      </c>
      <c r="B24" s="19" t="s">
        <v>160</v>
      </c>
      <c r="C24" s="41">
        <v>37</v>
      </c>
      <c r="D24" s="41"/>
      <c r="E24" s="41"/>
      <c r="F24" s="41"/>
      <c r="G24" s="41"/>
      <c r="H24" s="41"/>
      <c r="I24" s="41"/>
      <c r="J24" s="41"/>
      <c r="K24" s="12">
        <f t="shared" si="0"/>
        <v>92.5</v>
      </c>
      <c r="L24" s="60">
        <v>37</v>
      </c>
      <c r="M24" s="12">
        <f t="shared" si="8"/>
        <v>92.5</v>
      </c>
      <c r="N24" s="41">
        <v>40</v>
      </c>
      <c r="O24" s="14">
        <f t="shared" si="2"/>
        <v>100</v>
      </c>
      <c r="P24" s="60">
        <v>39</v>
      </c>
      <c r="Q24" s="15">
        <f t="shared" si="3"/>
        <v>97.5</v>
      </c>
      <c r="R24" s="66">
        <v>34</v>
      </c>
      <c r="S24" s="12">
        <f t="shared" si="4"/>
        <v>85</v>
      </c>
      <c r="T24" s="12">
        <v>40</v>
      </c>
      <c r="U24" s="12">
        <f t="shared" si="5"/>
        <v>100</v>
      </c>
      <c r="V24" s="12">
        <f t="shared" si="6"/>
        <v>567.5</v>
      </c>
      <c r="W24" s="17">
        <f t="shared" si="7"/>
        <v>94.583333333333329</v>
      </c>
      <c r="X24" s="22"/>
    </row>
    <row r="25" spans="1:24" ht="15.75" customHeight="1">
      <c r="A25" s="86">
        <v>18</v>
      </c>
      <c r="B25" s="19" t="s">
        <v>161</v>
      </c>
      <c r="C25" s="41">
        <v>35</v>
      </c>
      <c r="D25" s="41"/>
      <c r="E25" s="41"/>
      <c r="F25" s="41"/>
      <c r="G25" s="41"/>
      <c r="H25" s="41"/>
      <c r="I25" s="41"/>
      <c r="J25" s="41"/>
      <c r="K25" s="12">
        <f t="shared" si="0"/>
        <v>87.5</v>
      </c>
      <c r="L25" s="60">
        <v>23</v>
      </c>
      <c r="M25" s="12">
        <f t="shared" si="8"/>
        <v>57.499999999999993</v>
      </c>
      <c r="N25" s="41">
        <v>22</v>
      </c>
      <c r="O25" s="14">
        <f t="shared" si="2"/>
        <v>55.000000000000007</v>
      </c>
      <c r="P25" s="60">
        <v>25</v>
      </c>
      <c r="Q25" s="15">
        <f t="shared" si="3"/>
        <v>62.5</v>
      </c>
      <c r="R25" s="62">
        <v>25</v>
      </c>
      <c r="S25" s="70">
        <f t="shared" si="4"/>
        <v>62.5</v>
      </c>
      <c r="T25" s="12">
        <v>27</v>
      </c>
      <c r="U25" s="12">
        <f t="shared" si="5"/>
        <v>67.5</v>
      </c>
      <c r="V25" s="12">
        <f t="shared" si="6"/>
        <v>392.5</v>
      </c>
      <c r="W25" s="17">
        <f t="shared" si="7"/>
        <v>65.416666666666671</v>
      </c>
      <c r="X25" s="22"/>
    </row>
    <row r="26" spans="1:24" ht="15.75" customHeight="1">
      <c r="A26" s="86">
        <v>19</v>
      </c>
      <c r="B26" s="19" t="s">
        <v>162</v>
      </c>
      <c r="C26" s="41">
        <v>31</v>
      </c>
      <c r="D26" s="41"/>
      <c r="E26" s="41"/>
      <c r="F26" s="41"/>
      <c r="G26" s="41"/>
      <c r="H26" s="41"/>
      <c r="I26" s="41"/>
      <c r="J26" s="41"/>
      <c r="K26" s="12">
        <f t="shared" si="0"/>
        <v>77.5</v>
      </c>
      <c r="L26" s="60">
        <v>26</v>
      </c>
      <c r="M26" s="12">
        <f t="shared" si="8"/>
        <v>65</v>
      </c>
      <c r="N26" s="41">
        <v>21</v>
      </c>
      <c r="O26" s="14">
        <f t="shared" si="2"/>
        <v>52.5</v>
      </c>
      <c r="P26" s="60">
        <v>34</v>
      </c>
      <c r="Q26" s="15">
        <f t="shared" si="3"/>
        <v>85</v>
      </c>
      <c r="R26" s="62">
        <v>32</v>
      </c>
      <c r="S26" s="12">
        <f t="shared" si="4"/>
        <v>80</v>
      </c>
      <c r="T26" s="12">
        <v>36</v>
      </c>
      <c r="U26" s="12">
        <f t="shared" si="5"/>
        <v>90</v>
      </c>
      <c r="V26" s="12">
        <f t="shared" si="6"/>
        <v>450</v>
      </c>
      <c r="W26" s="17">
        <f t="shared" si="7"/>
        <v>75</v>
      </c>
      <c r="X26" s="22"/>
    </row>
    <row r="27" spans="1:24" ht="18">
      <c r="A27" s="86">
        <v>20</v>
      </c>
      <c r="B27" s="19" t="s">
        <v>163</v>
      </c>
      <c r="C27" s="41">
        <v>32</v>
      </c>
      <c r="D27" s="41"/>
      <c r="E27" s="41"/>
      <c r="F27" s="41"/>
      <c r="G27" s="41"/>
      <c r="H27" s="41"/>
      <c r="I27" s="41"/>
      <c r="J27" s="41"/>
      <c r="K27" s="12">
        <f t="shared" si="0"/>
        <v>80</v>
      </c>
      <c r="L27" s="60">
        <v>9</v>
      </c>
      <c r="M27" s="12">
        <f t="shared" si="8"/>
        <v>22.5</v>
      </c>
      <c r="N27" s="41">
        <v>19</v>
      </c>
      <c r="O27" s="14">
        <f t="shared" si="2"/>
        <v>47.5</v>
      </c>
      <c r="P27" s="60">
        <v>29</v>
      </c>
      <c r="Q27" s="15">
        <f t="shared" si="3"/>
        <v>72.5</v>
      </c>
      <c r="R27" s="66">
        <v>27</v>
      </c>
      <c r="S27" s="12">
        <f t="shared" si="4"/>
        <v>67.5</v>
      </c>
      <c r="T27" s="12">
        <v>22</v>
      </c>
      <c r="U27" s="12">
        <f t="shared" si="5"/>
        <v>55.000000000000007</v>
      </c>
      <c r="V27" s="12">
        <f t="shared" si="6"/>
        <v>345</v>
      </c>
      <c r="W27" s="17">
        <f t="shared" si="7"/>
        <v>57.499999999999993</v>
      </c>
      <c r="X27" s="22"/>
    </row>
    <row r="28" spans="1:24" ht="18">
      <c r="A28" s="86">
        <v>21</v>
      </c>
      <c r="B28" s="19" t="s">
        <v>164</v>
      </c>
      <c r="C28" s="41">
        <v>30</v>
      </c>
      <c r="D28" s="41"/>
      <c r="E28" s="41"/>
      <c r="F28" s="41"/>
      <c r="G28" s="41"/>
      <c r="H28" s="41"/>
      <c r="I28" s="41"/>
      <c r="J28" s="41"/>
      <c r="K28" s="12">
        <f t="shared" si="0"/>
        <v>75</v>
      </c>
      <c r="L28" s="60">
        <v>17</v>
      </c>
      <c r="M28" s="70">
        <f t="shared" si="8"/>
        <v>42.5</v>
      </c>
      <c r="N28" s="41">
        <v>18</v>
      </c>
      <c r="O28" s="14">
        <f t="shared" si="2"/>
        <v>45</v>
      </c>
      <c r="P28" s="60">
        <v>27</v>
      </c>
      <c r="Q28" s="15">
        <f t="shared" si="3"/>
        <v>67.5</v>
      </c>
      <c r="R28" s="62">
        <v>20</v>
      </c>
      <c r="S28" s="12">
        <f t="shared" si="4"/>
        <v>50</v>
      </c>
      <c r="T28" s="12">
        <v>30</v>
      </c>
      <c r="U28" s="12">
        <f t="shared" si="5"/>
        <v>75</v>
      </c>
      <c r="V28" s="12">
        <f t="shared" si="6"/>
        <v>355</v>
      </c>
      <c r="W28" s="17">
        <f t="shared" si="7"/>
        <v>59.166666666666664</v>
      </c>
      <c r="X28" s="22"/>
    </row>
    <row r="29" spans="1:24" ht="18">
      <c r="A29" s="86">
        <v>22</v>
      </c>
      <c r="B29" s="19" t="s">
        <v>165</v>
      </c>
      <c r="C29" s="41">
        <v>27</v>
      </c>
      <c r="D29" s="41"/>
      <c r="E29" s="41"/>
      <c r="F29" s="41"/>
      <c r="G29" s="41"/>
      <c r="H29" s="41"/>
      <c r="I29" s="41"/>
      <c r="J29" s="41"/>
      <c r="K29" s="12">
        <f t="shared" si="0"/>
        <v>67.5</v>
      </c>
      <c r="L29" s="60">
        <v>14</v>
      </c>
      <c r="M29" s="12">
        <f t="shared" si="8"/>
        <v>35</v>
      </c>
      <c r="N29" s="41">
        <v>17</v>
      </c>
      <c r="O29" s="14">
        <f t="shared" si="2"/>
        <v>42.5</v>
      </c>
      <c r="P29" s="60">
        <v>22</v>
      </c>
      <c r="Q29" s="15">
        <f t="shared" si="3"/>
        <v>55.000000000000007</v>
      </c>
      <c r="R29" s="66">
        <v>20</v>
      </c>
      <c r="S29" s="70">
        <f t="shared" si="4"/>
        <v>50</v>
      </c>
      <c r="T29" s="12">
        <v>21</v>
      </c>
      <c r="U29" s="12">
        <f t="shared" si="5"/>
        <v>52.5</v>
      </c>
      <c r="V29" s="12">
        <f t="shared" si="6"/>
        <v>302.5</v>
      </c>
      <c r="W29" s="17">
        <f t="shared" si="7"/>
        <v>50.416666666666664</v>
      </c>
      <c r="X29" s="22"/>
    </row>
    <row r="30" spans="1:24" ht="18">
      <c r="A30" s="86">
        <v>23</v>
      </c>
      <c r="B30" s="19" t="s">
        <v>166</v>
      </c>
      <c r="C30" s="41">
        <v>29</v>
      </c>
      <c r="D30" s="41"/>
      <c r="E30" s="41"/>
      <c r="F30" s="41"/>
      <c r="G30" s="41"/>
      <c r="H30" s="41"/>
      <c r="I30" s="41"/>
      <c r="J30" s="41"/>
      <c r="K30" s="12">
        <f t="shared" si="0"/>
        <v>72.5</v>
      </c>
      <c r="L30" s="60">
        <v>24</v>
      </c>
      <c r="M30" s="12">
        <f t="shared" si="8"/>
        <v>60</v>
      </c>
      <c r="N30" s="14">
        <v>27</v>
      </c>
      <c r="O30" s="14">
        <f t="shared" si="2"/>
        <v>67.5</v>
      </c>
      <c r="P30" s="60">
        <v>34</v>
      </c>
      <c r="Q30" s="15">
        <f t="shared" si="3"/>
        <v>85</v>
      </c>
      <c r="R30" s="62">
        <v>24</v>
      </c>
      <c r="S30" s="12">
        <f t="shared" si="4"/>
        <v>60</v>
      </c>
      <c r="T30" s="12">
        <v>29</v>
      </c>
      <c r="U30" s="12">
        <f t="shared" si="5"/>
        <v>72.5</v>
      </c>
      <c r="V30" s="12">
        <f t="shared" si="6"/>
        <v>417.5</v>
      </c>
      <c r="W30" s="17">
        <f t="shared" si="7"/>
        <v>69.583333333333329</v>
      </c>
      <c r="X30" s="22"/>
    </row>
    <row r="31" spans="1:24" ht="18">
      <c r="A31" s="86">
        <v>24</v>
      </c>
      <c r="B31" s="19" t="s">
        <v>167</v>
      </c>
      <c r="C31" s="41">
        <v>26</v>
      </c>
      <c r="D31" s="41"/>
      <c r="E31" s="41"/>
      <c r="F31" s="41"/>
      <c r="G31" s="41"/>
      <c r="H31" s="41"/>
      <c r="I31" s="41"/>
      <c r="J31" s="41"/>
      <c r="K31" s="12">
        <f t="shared" si="0"/>
        <v>65</v>
      </c>
      <c r="L31" s="60">
        <v>24</v>
      </c>
      <c r="M31" s="12">
        <f t="shared" si="8"/>
        <v>60</v>
      </c>
      <c r="N31" s="41">
        <v>30</v>
      </c>
      <c r="O31" s="14">
        <f t="shared" si="2"/>
        <v>75</v>
      </c>
      <c r="P31" s="60">
        <v>36</v>
      </c>
      <c r="Q31" s="15">
        <f t="shared" si="3"/>
        <v>90</v>
      </c>
      <c r="R31" s="66">
        <v>24</v>
      </c>
      <c r="S31" s="12">
        <f t="shared" si="4"/>
        <v>60</v>
      </c>
      <c r="T31" s="12">
        <v>31</v>
      </c>
      <c r="U31" s="12">
        <f t="shared" si="5"/>
        <v>77.5</v>
      </c>
      <c r="V31" s="12">
        <f t="shared" si="6"/>
        <v>427.5</v>
      </c>
      <c r="W31" s="17">
        <f t="shared" si="7"/>
        <v>71.25</v>
      </c>
      <c r="X31" s="22"/>
    </row>
    <row r="32" spans="1:24" ht="18">
      <c r="A32" s="86">
        <v>25</v>
      </c>
      <c r="B32" s="19" t="s">
        <v>168</v>
      </c>
      <c r="C32" s="41">
        <v>10</v>
      </c>
      <c r="D32" s="41"/>
      <c r="E32" s="41"/>
      <c r="F32" s="41"/>
      <c r="G32" s="41"/>
      <c r="H32" s="41"/>
      <c r="I32" s="41"/>
      <c r="J32" s="41"/>
      <c r="K32" s="12">
        <f t="shared" si="0"/>
        <v>25</v>
      </c>
      <c r="L32" s="60">
        <v>13</v>
      </c>
      <c r="M32" s="12">
        <f t="shared" si="8"/>
        <v>32.5</v>
      </c>
      <c r="N32" s="71">
        <v>3</v>
      </c>
      <c r="O32" s="88">
        <f t="shared" si="2"/>
        <v>7.5</v>
      </c>
      <c r="P32" s="60">
        <v>19</v>
      </c>
      <c r="Q32" s="64">
        <f t="shared" si="3"/>
        <v>47.5</v>
      </c>
      <c r="R32" s="62">
        <v>16</v>
      </c>
      <c r="S32" s="70">
        <f t="shared" si="4"/>
        <v>40</v>
      </c>
      <c r="T32" s="12">
        <v>23</v>
      </c>
      <c r="U32" s="12">
        <f t="shared" si="5"/>
        <v>57.499999999999993</v>
      </c>
      <c r="V32" s="12">
        <f t="shared" si="6"/>
        <v>210</v>
      </c>
      <c r="W32" s="17">
        <f t="shared" si="7"/>
        <v>35</v>
      </c>
      <c r="X32" s="22"/>
    </row>
    <row r="33" spans="1:24" ht="18">
      <c r="A33" s="86">
        <v>26</v>
      </c>
      <c r="B33" s="19" t="s">
        <v>169</v>
      </c>
      <c r="C33" s="41">
        <v>33</v>
      </c>
      <c r="D33" s="41"/>
      <c r="E33" s="41"/>
      <c r="F33" s="41"/>
      <c r="G33" s="41"/>
      <c r="H33" s="41"/>
      <c r="I33" s="41"/>
      <c r="J33" s="41"/>
      <c r="K33" s="12">
        <f t="shared" si="0"/>
        <v>82.5</v>
      </c>
      <c r="L33" s="60">
        <v>29</v>
      </c>
      <c r="M33" s="12">
        <f t="shared" si="8"/>
        <v>72.5</v>
      </c>
      <c r="N33" s="72">
        <v>30</v>
      </c>
      <c r="O33" s="14">
        <f t="shared" si="2"/>
        <v>75</v>
      </c>
      <c r="P33" s="60">
        <v>36</v>
      </c>
      <c r="Q33" s="15">
        <f t="shared" si="3"/>
        <v>90</v>
      </c>
      <c r="R33" s="66">
        <v>33</v>
      </c>
      <c r="S33" s="12">
        <f t="shared" si="4"/>
        <v>82.5</v>
      </c>
      <c r="T33" s="12">
        <v>34</v>
      </c>
      <c r="U33" s="12">
        <f t="shared" si="5"/>
        <v>85</v>
      </c>
      <c r="V33" s="12">
        <f t="shared" si="6"/>
        <v>487.5</v>
      </c>
      <c r="W33" s="17">
        <f t="shared" si="7"/>
        <v>81.25</v>
      </c>
      <c r="X33" s="22"/>
    </row>
    <row r="34" spans="1:24" ht="18">
      <c r="A34" s="86">
        <v>27</v>
      </c>
      <c r="B34" s="19" t="s">
        <v>170</v>
      </c>
      <c r="C34" s="41">
        <v>37</v>
      </c>
      <c r="D34" s="41"/>
      <c r="E34" s="41"/>
      <c r="F34" s="41"/>
      <c r="G34" s="41"/>
      <c r="H34" s="41"/>
      <c r="I34" s="41"/>
      <c r="J34" s="41"/>
      <c r="K34" s="12">
        <f t="shared" si="0"/>
        <v>92.5</v>
      </c>
      <c r="L34" s="60">
        <v>38</v>
      </c>
      <c r="M34" s="12">
        <f t="shared" si="8"/>
        <v>95</v>
      </c>
      <c r="N34" s="72">
        <v>40</v>
      </c>
      <c r="O34" s="14">
        <f t="shared" si="2"/>
        <v>100</v>
      </c>
      <c r="P34" s="60">
        <v>40</v>
      </c>
      <c r="Q34" s="15">
        <f t="shared" si="3"/>
        <v>100</v>
      </c>
      <c r="R34" s="66">
        <v>40</v>
      </c>
      <c r="S34" s="12">
        <f t="shared" si="4"/>
        <v>100</v>
      </c>
      <c r="T34" s="12">
        <v>40</v>
      </c>
      <c r="U34" s="12">
        <f t="shared" si="5"/>
        <v>100</v>
      </c>
      <c r="V34" s="12">
        <f t="shared" si="6"/>
        <v>587.5</v>
      </c>
      <c r="W34" s="17">
        <f t="shared" si="7"/>
        <v>97.916666666666657</v>
      </c>
      <c r="X34" s="22"/>
    </row>
    <row r="35" spans="1:24" ht="18">
      <c r="A35" s="86">
        <v>28</v>
      </c>
      <c r="B35" s="19" t="s">
        <v>171</v>
      </c>
      <c r="C35" s="41">
        <v>32</v>
      </c>
      <c r="D35" s="41"/>
      <c r="E35" s="41"/>
      <c r="F35" s="41"/>
      <c r="G35" s="41"/>
      <c r="H35" s="41"/>
      <c r="I35" s="41"/>
      <c r="J35" s="41"/>
      <c r="K35" s="12">
        <f t="shared" si="0"/>
        <v>80</v>
      </c>
      <c r="L35" s="60">
        <v>32</v>
      </c>
      <c r="M35" s="12">
        <f t="shared" si="8"/>
        <v>80</v>
      </c>
      <c r="N35" s="72">
        <v>17</v>
      </c>
      <c r="O35" s="14">
        <f t="shared" si="2"/>
        <v>42.5</v>
      </c>
      <c r="P35" s="60">
        <v>26</v>
      </c>
      <c r="Q35" s="15">
        <f t="shared" si="3"/>
        <v>65</v>
      </c>
      <c r="R35" s="66">
        <v>33</v>
      </c>
      <c r="S35" s="12">
        <f t="shared" si="4"/>
        <v>82.5</v>
      </c>
      <c r="T35" s="12">
        <v>34</v>
      </c>
      <c r="U35" s="12">
        <f t="shared" si="5"/>
        <v>85</v>
      </c>
      <c r="V35" s="12">
        <f t="shared" si="6"/>
        <v>435</v>
      </c>
      <c r="W35" s="17">
        <f t="shared" si="7"/>
        <v>72.5</v>
      </c>
      <c r="X35" s="22"/>
    </row>
    <row r="36" spans="1:24" ht="18">
      <c r="A36" s="86">
        <v>29</v>
      </c>
      <c r="B36" s="19" t="s">
        <v>172</v>
      </c>
      <c r="C36" s="41">
        <v>13</v>
      </c>
      <c r="D36" s="41"/>
      <c r="E36" s="41"/>
      <c r="F36" s="41"/>
      <c r="G36" s="41"/>
      <c r="H36" s="41"/>
      <c r="I36" s="41"/>
      <c r="J36" s="41"/>
      <c r="K36" s="12">
        <f t="shared" si="0"/>
        <v>32.5</v>
      </c>
      <c r="L36" s="60">
        <v>13</v>
      </c>
      <c r="M36" s="70">
        <f t="shared" si="8"/>
        <v>32.5</v>
      </c>
      <c r="N36" s="72">
        <v>7</v>
      </c>
      <c r="O36" s="14">
        <f t="shared" si="2"/>
        <v>17.5</v>
      </c>
      <c r="P36" s="60">
        <v>7</v>
      </c>
      <c r="Q36" s="15">
        <f t="shared" si="3"/>
        <v>17.5</v>
      </c>
      <c r="R36" s="66">
        <v>18</v>
      </c>
      <c r="S36" s="70">
        <f t="shared" si="4"/>
        <v>45</v>
      </c>
      <c r="T36" s="12">
        <v>16</v>
      </c>
      <c r="U36" s="12">
        <f t="shared" si="5"/>
        <v>40</v>
      </c>
      <c r="V36" s="12">
        <f t="shared" si="6"/>
        <v>185</v>
      </c>
      <c r="W36" s="17">
        <f t="shared" si="7"/>
        <v>30.833333333333336</v>
      </c>
      <c r="X36" s="22"/>
    </row>
    <row r="37" spans="1:24" ht="18">
      <c r="A37" s="86">
        <v>30</v>
      </c>
      <c r="B37" s="19" t="s">
        <v>173</v>
      </c>
      <c r="C37" s="41">
        <v>14</v>
      </c>
      <c r="D37" s="41"/>
      <c r="E37" s="41"/>
      <c r="F37" s="41"/>
      <c r="G37" s="41"/>
      <c r="H37" s="41"/>
      <c r="I37" s="41"/>
      <c r="J37" s="41"/>
      <c r="K37" s="12">
        <f t="shared" si="0"/>
        <v>35</v>
      </c>
      <c r="L37" s="60">
        <v>13</v>
      </c>
      <c r="M37" s="70">
        <f t="shared" si="8"/>
        <v>32.5</v>
      </c>
      <c r="N37" s="72">
        <v>16</v>
      </c>
      <c r="O37" s="88">
        <f t="shared" si="2"/>
        <v>40</v>
      </c>
      <c r="P37" s="60">
        <v>19</v>
      </c>
      <c r="Q37" s="64">
        <f t="shared" si="3"/>
        <v>47.5</v>
      </c>
      <c r="R37" s="66">
        <v>17</v>
      </c>
      <c r="S37" s="70">
        <f t="shared" si="4"/>
        <v>42.5</v>
      </c>
      <c r="T37" s="12">
        <v>26</v>
      </c>
      <c r="U37" s="12">
        <f t="shared" si="5"/>
        <v>65</v>
      </c>
      <c r="V37" s="12">
        <f t="shared" si="6"/>
        <v>262.5</v>
      </c>
      <c r="W37" s="17">
        <f t="shared" si="7"/>
        <v>43.75</v>
      </c>
      <c r="X37" s="22"/>
    </row>
    <row r="38" spans="1:24" ht="18">
      <c r="A38" s="86">
        <v>31</v>
      </c>
      <c r="B38" s="19" t="s">
        <v>174</v>
      </c>
      <c r="C38" s="41">
        <v>25</v>
      </c>
      <c r="D38" s="41"/>
      <c r="E38" s="41"/>
      <c r="F38" s="41"/>
      <c r="G38" s="41"/>
      <c r="H38" s="41"/>
      <c r="I38" s="41"/>
      <c r="J38" s="41"/>
      <c r="K38" s="12">
        <f t="shared" si="0"/>
        <v>62.5</v>
      </c>
      <c r="L38" s="60">
        <v>16</v>
      </c>
      <c r="M38" s="12">
        <f t="shared" si="8"/>
        <v>40</v>
      </c>
      <c r="N38" s="72">
        <v>18</v>
      </c>
      <c r="O38" s="14">
        <f t="shared" si="2"/>
        <v>45</v>
      </c>
      <c r="P38" s="60">
        <v>24</v>
      </c>
      <c r="Q38" s="15">
        <f t="shared" si="3"/>
        <v>60</v>
      </c>
      <c r="R38" s="66">
        <v>24</v>
      </c>
      <c r="S38" s="12">
        <f t="shared" si="4"/>
        <v>60</v>
      </c>
      <c r="T38" s="12">
        <v>23</v>
      </c>
      <c r="U38" s="12">
        <f t="shared" si="5"/>
        <v>57.499999999999993</v>
      </c>
      <c r="V38" s="12">
        <f t="shared" si="6"/>
        <v>325</v>
      </c>
      <c r="W38" s="17">
        <f t="shared" si="7"/>
        <v>54.166666666666664</v>
      </c>
      <c r="X38" s="22"/>
    </row>
    <row r="39" spans="1:24" ht="18">
      <c r="A39" s="86">
        <v>32</v>
      </c>
      <c r="B39" s="19" t="s">
        <v>175</v>
      </c>
      <c r="C39" s="13">
        <v>30</v>
      </c>
      <c r="D39" s="13"/>
      <c r="E39" s="13"/>
      <c r="F39" s="13"/>
      <c r="G39" s="13"/>
      <c r="H39" s="13"/>
      <c r="I39" s="13"/>
      <c r="J39" s="13"/>
      <c r="K39" s="12">
        <f t="shared" si="0"/>
        <v>75</v>
      </c>
      <c r="L39" s="60">
        <v>35</v>
      </c>
      <c r="M39" s="12">
        <f t="shared" si="8"/>
        <v>87.5</v>
      </c>
      <c r="N39" s="72">
        <v>29</v>
      </c>
      <c r="O39" s="14">
        <f t="shared" si="2"/>
        <v>72.5</v>
      </c>
      <c r="P39" s="60">
        <v>38</v>
      </c>
      <c r="Q39" s="15">
        <f t="shared" si="3"/>
        <v>95</v>
      </c>
      <c r="R39" s="66">
        <v>32</v>
      </c>
      <c r="S39" s="12">
        <f t="shared" si="4"/>
        <v>80</v>
      </c>
      <c r="T39" s="12">
        <v>34</v>
      </c>
      <c r="U39" s="12">
        <f t="shared" si="5"/>
        <v>85</v>
      </c>
      <c r="V39" s="12">
        <f t="shared" si="6"/>
        <v>495</v>
      </c>
      <c r="W39" s="17">
        <f t="shared" si="7"/>
        <v>82.5</v>
      </c>
      <c r="X39" s="22"/>
    </row>
    <row r="40" spans="1:24" ht="18">
      <c r="A40" s="86">
        <v>33</v>
      </c>
      <c r="B40" s="19" t="s">
        <v>176</v>
      </c>
      <c r="C40" s="41">
        <v>36</v>
      </c>
      <c r="D40" s="41"/>
      <c r="E40" s="41"/>
      <c r="F40" s="41"/>
      <c r="G40" s="41"/>
      <c r="H40" s="41"/>
      <c r="I40" s="41"/>
      <c r="J40" s="41"/>
      <c r="K40" s="12">
        <f t="shared" si="0"/>
        <v>90</v>
      </c>
      <c r="L40" s="60">
        <v>25</v>
      </c>
      <c r="M40" s="12">
        <f t="shared" si="8"/>
        <v>62.5</v>
      </c>
      <c r="N40" s="72">
        <v>28</v>
      </c>
      <c r="O40" s="14">
        <f t="shared" si="2"/>
        <v>70</v>
      </c>
      <c r="P40" s="60">
        <v>25</v>
      </c>
      <c r="Q40" s="15">
        <f t="shared" si="3"/>
        <v>62.5</v>
      </c>
      <c r="R40" s="66">
        <v>33</v>
      </c>
      <c r="S40" s="12">
        <f t="shared" si="4"/>
        <v>82.5</v>
      </c>
      <c r="T40" s="12">
        <v>28</v>
      </c>
      <c r="U40" s="12">
        <f t="shared" si="5"/>
        <v>70</v>
      </c>
      <c r="V40" s="12">
        <f t="shared" si="6"/>
        <v>437.5</v>
      </c>
      <c r="W40" s="17">
        <f t="shared" si="7"/>
        <v>72.916666666666657</v>
      </c>
      <c r="X40" s="22"/>
    </row>
    <row r="41" spans="1:24" ht="18">
      <c r="A41" s="86">
        <v>34</v>
      </c>
      <c r="B41" s="19" t="s">
        <v>177</v>
      </c>
      <c r="C41" s="41">
        <v>36</v>
      </c>
      <c r="D41" s="41"/>
      <c r="E41" s="41"/>
      <c r="F41" s="41"/>
      <c r="G41" s="41"/>
      <c r="H41" s="41"/>
      <c r="I41" s="41"/>
      <c r="J41" s="41"/>
      <c r="K41" s="12">
        <f t="shared" si="0"/>
        <v>90</v>
      </c>
      <c r="L41" s="60">
        <v>28</v>
      </c>
      <c r="M41" s="12">
        <f t="shared" si="8"/>
        <v>70</v>
      </c>
      <c r="N41" s="72">
        <v>25</v>
      </c>
      <c r="O41" s="14">
        <f t="shared" si="2"/>
        <v>62.5</v>
      </c>
      <c r="P41" s="60">
        <v>36</v>
      </c>
      <c r="Q41" s="15">
        <f t="shared" si="3"/>
        <v>90</v>
      </c>
      <c r="R41" s="66">
        <v>31</v>
      </c>
      <c r="S41" s="12">
        <f t="shared" si="4"/>
        <v>77.5</v>
      </c>
      <c r="T41" s="12">
        <v>36</v>
      </c>
      <c r="U41" s="12">
        <f t="shared" si="5"/>
        <v>90</v>
      </c>
      <c r="V41" s="12">
        <f t="shared" si="6"/>
        <v>480</v>
      </c>
      <c r="W41" s="17">
        <f t="shared" si="7"/>
        <v>80</v>
      </c>
      <c r="X41" s="22"/>
    </row>
    <row r="42" spans="1:24" ht="18">
      <c r="A42" s="86">
        <v>35</v>
      </c>
      <c r="B42" s="19" t="s">
        <v>178</v>
      </c>
      <c r="C42" s="41">
        <v>19</v>
      </c>
      <c r="D42" s="41"/>
      <c r="E42" s="41"/>
      <c r="F42" s="41"/>
      <c r="G42" s="41"/>
      <c r="H42" s="41"/>
      <c r="I42" s="41"/>
      <c r="J42" s="41"/>
      <c r="K42" s="12">
        <f t="shared" si="0"/>
        <v>47.5</v>
      </c>
      <c r="L42" s="60">
        <v>12</v>
      </c>
      <c r="M42" s="12">
        <f t="shared" si="8"/>
        <v>30</v>
      </c>
      <c r="N42" s="72">
        <v>19</v>
      </c>
      <c r="O42" s="14">
        <f t="shared" si="2"/>
        <v>47.5</v>
      </c>
      <c r="P42" s="60">
        <v>17</v>
      </c>
      <c r="Q42" s="15">
        <f t="shared" si="3"/>
        <v>42.5</v>
      </c>
      <c r="R42" s="66">
        <v>16</v>
      </c>
      <c r="S42" s="70">
        <f t="shared" si="4"/>
        <v>40</v>
      </c>
      <c r="T42" s="12">
        <v>32</v>
      </c>
      <c r="U42" s="12">
        <f t="shared" si="5"/>
        <v>80</v>
      </c>
      <c r="V42" s="12">
        <f t="shared" si="6"/>
        <v>287.5</v>
      </c>
      <c r="W42" s="17">
        <f t="shared" si="7"/>
        <v>47.916666666666671</v>
      </c>
      <c r="X42" s="22"/>
    </row>
    <row r="43" spans="1:24" ht="18">
      <c r="A43" s="86">
        <v>36</v>
      </c>
      <c r="B43" s="19" t="s">
        <v>179</v>
      </c>
      <c r="C43" s="41">
        <v>30</v>
      </c>
      <c r="D43" s="41"/>
      <c r="E43" s="41"/>
      <c r="F43" s="41"/>
      <c r="G43" s="41"/>
      <c r="H43" s="41"/>
      <c r="I43" s="41"/>
      <c r="J43" s="41"/>
      <c r="K43" s="12">
        <f t="shared" si="0"/>
        <v>75</v>
      </c>
      <c r="L43" s="60">
        <v>25</v>
      </c>
      <c r="M43" s="12">
        <f t="shared" si="8"/>
        <v>62.5</v>
      </c>
      <c r="N43" s="72">
        <v>38</v>
      </c>
      <c r="O43" s="14">
        <f t="shared" si="2"/>
        <v>95</v>
      </c>
      <c r="P43" s="60">
        <v>34</v>
      </c>
      <c r="Q43" s="15">
        <f t="shared" si="3"/>
        <v>85</v>
      </c>
      <c r="R43" s="66">
        <v>29</v>
      </c>
      <c r="S43" s="12">
        <f t="shared" si="4"/>
        <v>72.5</v>
      </c>
      <c r="T43" s="12">
        <v>28</v>
      </c>
      <c r="U43" s="12">
        <f t="shared" si="5"/>
        <v>70</v>
      </c>
      <c r="V43" s="12">
        <f t="shared" si="6"/>
        <v>460</v>
      </c>
      <c r="W43" s="17">
        <f t="shared" si="7"/>
        <v>76.666666666666671</v>
      </c>
      <c r="X43" s="22"/>
    </row>
    <row r="44" spans="1:24" ht="18">
      <c r="A44" s="86">
        <v>37</v>
      </c>
      <c r="B44" s="89" t="s">
        <v>180</v>
      </c>
      <c r="C44" s="90"/>
      <c r="D44" s="90"/>
      <c r="E44" s="90"/>
      <c r="F44" s="90"/>
      <c r="G44" s="90"/>
      <c r="H44" s="90"/>
      <c r="I44" s="90"/>
      <c r="J44" s="90"/>
      <c r="K44" s="91" t="str">
        <f t="shared" si="0"/>
        <v/>
      </c>
      <c r="L44" s="92"/>
      <c r="M44" s="91" t="str">
        <f t="shared" si="8"/>
        <v/>
      </c>
      <c r="N44" s="93"/>
      <c r="O44" s="94" t="str">
        <f t="shared" si="2"/>
        <v/>
      </c>
      <c r="P44" s="95"/>
      <c r="Q44" s="96" t="str">
        <f t="shared" si="3"/>
        <v/>
      </c>
      <c r="R44" s="95"/>
      <c r="S44" s="97" t="str">
        <f t="shared" si="4"/>
        <v/>
      </c>
      <c r="T44" s="97"/>
      <c r="U44" s="12" t="str">
        <f t="shared" si="5"/>
        <v/>
      </c>
      <c r="V44" s="91">
        <f t="shared" si="6"/>
        <v>0</v>
      </c>
      <c r="W44" s="98">
        <f t="shared" si="7"/>
        <v>0</v>
      </c>
      <c r="X44" s="93"/>
    </row>
    <row r="45" spans="1:24" ht="18">
      <c r="A45" s="86">
        <v>38</v>
      </c>
      <c r="B45" s="19" t="s">
        <v>181</v>
      </c>
      <c r="C45" s="41">
        <v>27</v>
      </c>
      <c r="D45" s="41"/>
      <c r="E45" s="41"/>
      <c r="F45" s="41"/>
      <c r="G45" s="41"/>
      <c r="H45" s="41"/>
      <c r="I45" s="41"/>
      <c r="J45" s="41"/>
      <c r="K45" s="12">
        <f t="shared" si="0"/>
        <v>67.5</v>
      </c>
      <c r="L45" s="60">
        <v>17</v>
      </c>
      <c r="M45" s="12">
        <f t="shared" si="8"/>
        <v>42.5</v>
      </c>
      <c r="N45" s="41">
        <v>16</v>
      </c>
      <c r="O45" s="14">
        <f t="shared" si="2"/>
        <v>40</v>
      </c>
      <c r="P45" s="60">
        <v>26</v>
      </c>
      <c r="Q45" s="15">
        <f t="shared" si="3"/>
        <v>65</v>
      </c>
      <c r="R45" s="66">
        <v>23</v>
      </c>
      <c r="S45" s="70">
        <f t="shared" si="4"/>
        <v>57.499999999999993</v>
      </c>
      <c r="T45" s="12">
        <v>24</v>
      </c>
      <c r="U45" s="12">
        <f t="shared" si="5"/>
        <v>60</v>
      </c>
      <c r="V45" s="12">
        <f t="shared" si="6"/>
        <v>332.5</v>
      </c>
      <c r="W45" s="17">
        <f t="shared" si="7"/>
        <v>55.416666666666671</v>
      </c>
      <c r="X45" s="22"/>
    </row>
    <row r="46" spans="1:24" ht="18">
      <c r="A46" s="86">
        <v>39</v>
      </c>
      <c r="B46" s="19" t="s">
        <v>182</v>
      </c>
      <c r="C46" s="41">
        <v>29</v>
      </c>
      <c r="D46" s="41"/>
      <c r="E46" s="41"/>
      <c r="F46" s="41"/>
      <c r="G46" s="41"/>
      <c r="H46" s="41"/>
      <c r="I46" s="41"/>
      <c r="J46" s="41"/>
      <c r="K46" s="12">
        <f t="shared" si="0"/>
        <v>72.5</v>
      </c>
      <c r="L46" s="77">
        <v>27</v>
      </c>
      <c r="M46" s="12">
        <f t="shared" si="8"/>
        <v>67.5</v>
      </c>
      <c r="N46" s="41">
        <v>30</v>
      </c>
      <c r="O46" s="14">
        <f t="shared" si="2"/>
        <v>75</v>
      </c>
      <c r="P46" s="99">
        <v>30</v>
      </c>
      <c r="Q46" s="15">
        <f t="shared" si="3"/>
        <v>75</v>
      </c>
      <c r="R46" s="66">
        <v>32</v>
      </c>
      <c r="S46" s="12">
        <f t="shared" si="4"/>
        <v>80</v>
      </c>
      <c r="T46" s="12">
        <v>35</v>
      </c>
      <c r="U46" s="12">
        <f t="shared" si="5"/>
        <v>87.5</v>
      </c>
      <c r="V46" s="12">
        <f t="shared" si="6"/>
        <v>457.5</v>
      </c>
      <c r="W46" s="17">
        <f t="shared" si="7"/>
        <v>76.25</v>
      </c>
      <c r="X46" s="22"/>
    </row>
    <row r="47" spans="1:24" ht="18">
      <c r="A47" s="86">
        <v>40</v>
      </c>
      <c r="B47" s="19" t="s">
        <v>183</v>
      </c>
      <c r="C47" s="41">
        <v>35</v>
      </c>
      <c r="D47" s="41"/>
      <c r="E47" s="41"/>
      <c r="F47" s="41"/>
      <c r="G47" s="41"/>
      <c r="H47" s="41"/>
      <c r="I47" s="41"/>
      <c r="J47" s="41"/>
      <c r="K47" s="12">
        <f t="shared" si="0"/>
        <v>87.5</v>
      </c>
      <c r="L47" s="77">
        <v>37</v>
      </c>
      <c r="M47" s="12">
        <f t="shared" si="8"/>
        <v>92.5</v>
      </c>
      <c r="N47" s="41">
        <v>35</v>
      </c>
      <c r="O47" s="14">
        <f t="shared" si="2"/>
        <v>87.5</v>
      </c>
      <c r="P47" s="99">
        <v>30</v>
      </c>
      <c r="Q47" s="15">
        <f t="shared" si="3"/>
        <v>75</v>
      </c>
      <c r="R47" s="66">
        <v>37</v>
      </c>
      <c r="S47" s="12">
        <f t="shared" si="4"/>
        <v>92.5</v>
      </c>
      <c r="T47" s="12">
        <v>36</v>
      </c>
      <c r="U47" s="12">
        <f t="shared" si="5"/>
        <v>90</v>
      </c>
      <c r="V47" s="12">
        <f t="shared" si="6"/>
        <v>525</v>
      </c>
      <c r="W47" s="17">
        <f t="shared" si="7"/>
        <v>87.5</v>
      </c>
      <c r="X47" s="22"/>
    </row>
    <row r="48" spans="1:24" ht="18">
      <c r="A48" s="86">
        <v>41</v>
      </c>
      <c r="B48" s="19" t="s">
        <v>184</v>
      </c>
      <c r="C48" s="12">
        <v>33</v>
      </c>
      <c r="D48" s="12"/>
      <c r="E48" s="12"/>
      <c r="F48" s="12"/>
      <c r="G48" s="12"/>
      <c r="H48" s="12"/>
      <c r="I48" s="12"/>
      <c r="J48" s="12"/>
      <c r="K48" s="12">
        <f t="shared" si="0"/>
        <v>82.5</v>
      </c>
      <c r="L48" s="100">
        <v>26</v>
      </c>
      <c r="M48" s="12">
        <f t="shared" si="8"/>
        <v>65</v>
      </c>
      <c r="N48" s="14">
        <v>16</v>
      </c>
      <c r="O48" s="14">
        <f t="shared" si="2"/>
        <v>40</v>
      </c>
      <c r="P48" s="41">
        <v>18</v>
      </c>
      <c r="Q48" s="15">
        <f t="shared" si="3"/>
        <v>45</v>
      </c>
      <c r="R48" s="101">
        <v>13</v>
      </c>
      <c r="S48" s="70">
        <f t="shared" si="4"/>
        <v>32.5</v>
      </c>
      <c r="T48" s="12">
        <v>24</v>
      </c>
      <c r="U48" s="12">
        <f t="shared" si="5"/>
        <v>60</v>
      </c>
      <c r="V48" s="12">
        <f t="shared" si="6"/>
        <v>325</v>
      </c>
      <c r="W48" s="17">
        <f t="shared" si="7"/>
        <v>54.166666666666664</v>
      </c>
      <c r="X48" s="22"/>
    </row>
    <row r="49" spans="1:24" ht="18">
      <c r="A49" s="86">
        <v>42</v>
      </c>
      <c r="B49" s="19" t="s">
        <v>185</v>
      </c>
      <c r="C49" s="12">
        <v>24</v>
      </c>
      <c r="D49" s="12"/>
      <c r="E49" s="12"/>
      <c r="F49" s="12"/>
      <c r="G49" s="12"/>
      <c r="H49" s="12"/>
      <c r="I49" s="12"/>
      <c r="J49" s="12"/>
      <c r="K49" s="12">
        <f t="shared" si="0"/>
        <v>60</v>
      </c>
      <c r="L49" s="100">
        <v>14</v>
      </c>
      <c r="M49" s="70">
        <f t="shared" si="8"/>
        <v>35</v>
      </c>
      <c r="N49" s="14">
        <v>13</v>
      </c>
      <c r="O49" s="14">
        <f t="shared" si="2"/>
        <v>32.5</v>
      </c>
      <c r="P49" s="102">
        <v>19</v>
      </c>
      <c r="Q49" s="15">
        <f t="shared" si="3"/>
        <v>47.5</v>
      </c>
      <c r="R49" s="101">
        <v>15</v>
      </c>
      <c r="S49" s="70">
        <f t="shared" si="4"/>
        <v>37.5</v>
      </c>
      <c r="T49" s="12">
        <v>22</v>
      </c>
      <c r="U49" s="12">
        <f t="shared" si="5"/>
        <v>55.000000000000007</v>
      </c>
      <c r="V49" s="37"/>
      <c r="W49" s="39" t="str">
        <f t="shared" si="7"/>
        <v/>
      </c>
      <c r="X49" s="22"/>
    </row>
    <row r="50" spans="1:24" ht="18">
      <c r="A50" s="86">
        <v>43</v>
      </c>
      <c r="B50" s="19" t="s">
        <v>186</v>
      </c>
      <c r="C50" s="12">
        <v>16</v>
      </c>
      <c r="D50" s="12"/>
      <c r="E50" s="12"/>
      <c r="F50" s="12"/>
      <c r="G50" s="12"/>
      <c r="H50" s="12"/>
      <c r="I50" s="12"/>
      <c r="J50" s="12"/>
      <c r="K50" s="12">
        <f t="shared" si="0"/>
        <v>40</v>
      </c>
      <c r="L50" s="100">
        <v>13</v>
      </c>
      <c r="M50" s="12">
        <f t="shared" si="8"/>
        <v>32.5</v>
      </c>
      <c r="N50" s="38">
        <v>9</v>
      </c>
      <c r="O50" s="38">
        <f t="shared" si="2"/>
        <v>22.5</v>
      </c>
      <c r="P50" s="103">
        <v>20</v>
      </c>
      <c r="Q50" s="15">
        <f t="shared" si="3"/>
        <v>50</v>
      </c>
      <c r="R50" s="104">
        <v>21</v>
      </c>
      <c r="S50" s="70">
        <f t="shared" si="4"/>
        <v>52.5</v>
      </c>
      <c r="T50" s="37">
        <v>26</v>
      </c>
      <c r="U50" s="12">
        <f t="shared" si="5"/>
        <v>65</v>
      </c>
      <c r="V50" s="37"/>
      <c r="W50" s="39"/>
      <c r="X50" s="22"/>
    </row>
    <row r="51" spans="1:24" ht="18">
      <c r="A51" s="105"/>
      <c r="B51" s="22"/>
      <c r="C51" s="37"/>
      <c r="D51" s="37"/>
      <c r="E51" s="37"/>
      <c r="F51" s="37"/>
      <c r="G51" s="37"/>
      <c r="H51" s="37"/>
      <c r="I51" s="37"/>
      <c r="J51" s="37"/>
      <c r="K51" s="37" t="str">
        <f t="shared" si="0"/>
        <v/>
      </c>
      <c r="L51" s="37"/>
      <c r="M51" s="37" t="str">
        <f t="shared" si="8"/>
        <v/>
      </c>
      <c r="N51" s="38"/>
      <c r="O51" s="38" t="str">
        <f t="shared" si="2"/>
        <v/>
      </c>
      <c r="P51" s="22"/>
      <c r="Q51" s="15" t="str">
        <f t="shared" si="3"/>
        <v/>
      </c>
      <c r="R51" s="106"/>
      <c r="S51" s="37"/>
      <c r="T51" s="37"/>
      <c r="U51" s="37"/>
      <c r="V51" s="37"/>
      <c r="W51" s="39"/>
      <c r="X51" s="22"/>
    </row>
    <row r="52" spans="1:24" ht="14.4">
      <c r="A52" s="105"/>
      <c r="B52" s="22"/>
      <c r="C52" s="37"/>
      <c r="D52" s="37"/>
      <c r="E52" s="37"/>
      <c r="F52" s="37"/>
      <c r="G52" s="37"/>
      <c r="H52" s="37"/>
      <c r="I52" s="37"/>
      <c r="J52" s="37"/>
      <c r="K52" s="37" t="str">
        <f t="shared" si="0"/>
        <v/>
      </c>
      <c r="L52" s="37"/>
      <c r="M52" s="37" t="str">
        <f t="shared" si="8"/>
        <v/>
      </c>
      <c r="N52" s="38"/>
      <c r="O52" s="38" t="str">
        <f t="shared" si="2"/>
        <v/>
      </c>
      <c r="P52" s="22"/>
      <c r="Q52" s="40"/>
      <c r="R52" s="106"/>
      <c r="S52" s="37"/>
      <c r="T52" s="37"/>
      <c r="U52" s="37"/>
      <c r="V52" s="37"/>
      <c r="W52" s="39"/>
      <c r="X52" s="22"/>
    </row>
    <row r="53" spans="1:24" ht="17.399999999999999">
      <c r="A53" s="361" t="s">
        <v>70</v>
      </c>
      <c r="B53" s="362"/>
      <c r="C53" s="42">
        <f>IF(C56=0,"",SUM(C8:C52)/C56)</f>
        <v>28.785714285714285</v>
      </c>
      <c r="D53" s="42"/>
      <c r="E53" s="42"/>
      <c r="F53" s="42"/>
      <c r="G53" s="42"/>
      <c r="H53" s="42"/>
      <c r="I53" s="42"/>
      <c r="J53" s="42"/>
      <c r="K53" s="39"/>
      <c r="L53" s="42">
        <f>IF(L56=0,"",SUM(L8:L52)/L56)</f>
        <v>23.69047619047619</v>
      </c>
      <c r="M53" s="42">
        <f t="shared" si="8"/>
        <v>59.226190476190474</v>
      </c>
      <c r="N53" s="42">
        <f>IF(N56=0,"",SUM(N8:N52)/N56)</f>
        <v>24.333333333333332</v>
      </c>
      <c r="O53" s="42">
        <f t="shared" si="2"/>
        <v>60.833333333333329</v>
      </c>
      <c r="P53" s="42">
        <f>IF(P56=0,"",SUM(P8:P52)/P56)</f>
        <v>28.833333333333332</v>
      </c>
      <c r="Q53" s="42">
        <f>IF(P53="","",IF(P53="AB",AB,IF(P53="TC","TC",(P53/Q$6)*100)))</f>
        <v>72.083333333333329</v>
      </c>
      <c r="R53" s="42">
        <f>IF(R56=0,"",SUM(R8:R52)/R56)</f>
        <v>26.666666666666668</v>
      </c>
      <c r="S53" s="42">
        <f>IF(R53="","",IF(R53="AB",AB,IF(R53="TC","TC",(R53/S$6)*100)))</f>
        <v>66.666666666666671</v>
      </c>
      <c r="T53" s="42">
        <f>IF(T56=0,"",SUM(T8:T52)/T56)</f>
        <v>30.80952380952381</v>
      </c>
      <c r="U53" s="42">
        <f>IF(T53="","",IF(T53="AB",AB,IF(T53="TC","TC",(T53/U$6)*100)))</f>
        <v>77.023809523809533</v>
      </c>
      <c r="V53" s="42">
        <f>IF(V56=0,"",SUM(V8:V52)/V56)</f>
        <v>414.9375</v>
      </c>
      <c r="W53" s="42">
        <f>IF(V56=0,"",SUM(W8:W52)/V56)</f>
        <v>69.156249999999972</v>
      </c>
      <c r="X53" s="39"/>
    </row>
    <row r="54" spans="1:24" ht="34.799999999999997">
      <c r="A54" s="387" t="s">
        <v>71</v>
      </c>
      <c r="B54" s="107" t="s">
        <v>72</v>
      </c>
      <c r="C54" s="359">
        <f>COUNTA(C8:C52)</f>
        <v>42</v>
      </c>
      <c r="D54" s="378"/>
      <c r="E54" s="378"/>
      <c r="F54" s="378"/>
      <c r="G54" s="378"/>
      <c r="H54" s="378"/>
      <c r="I54" s="378"/>
      <c r="J54" s="378"/>
      <c r="K54" s="360"/>
      <c r="L54" s="359">
        <f>COUNTA(L8:L52)</f>
        <v>42</v>
      </c>
      <c r="M54" s="360"/>
      <c r="N54" s="359">
        <f>COUNTA(N8:N52)</f>
        <v>42</v>
      </c>
      <c r="O54" s="360"/>
      <c r="P54" s="359">
        <f>COUNTA(P8:P52)</f>
        <v>42</v>
      </c>
      <c r="Q54" s="360"/>
      <c r="R54" s="359">
        <f>COUNTA(R8:R52)</f>
        <v>42</v>
      </c>
      <c r="S54" s="360"/>
      <c r="T54" s="359">
        <f>COUNTA(T8:T52)</f>
        <v>42</v>
      </c>
      <c r="U54" s="360"/>
      <c r="V54" s="359" t="s">
        <v>15</v>
      </c>
      <c r="W54" s="378"/>
      <c r="X54" s="360"/>
    </row>
    <row r="55" spans="1:24" ht="17.399999999999999">
      <c r="A55" s="381"/>
      <c r="B55" s="45" t="s">
        <v>73</v>
      </c>
      <c r="C55" s="361">
        <f>C54-C56</f>
        <v>0</v>
      </c>
      <c r="D55" s="364"/>
      <c r="E55" s="364"/>
      <c r="F55" s="364"/>
      <c r="G55" s="364"/>
      <c r="H55" s="364"/>
      <c r="I55" s="364"/>
      <c r="J55" s="364"/>
      <c r="K55" s="362"/>
      <c r="L55" s="361">
        <f>L54-L56</f>
        <v>0</v>
      </c>
      <c r="M55" s="362"/>
      <c r="N55" s="361">
        <f>N54-N56</f>
        <v>0</v>
      </c>
      <c r="O55" s="362"/>
      <c r="P55" s="361">
        <f>P54-P56</f>
        <v>0</v>
      </c>
      <c r="Q55" s="362"/>
      <c r="R55" s="361">
        <f>R54-R56</f>
        <v>0</v>
      </c>
      <c r="S55" s="362"/>
      <c r="T55" s="361">
        <f>T54-T56</f>
        <v>0</v>
      </c>
      <c r="U55" s="362"/>
      <c r="V55" s="361">
        <f>COUNTIF(Y8:Y52,0)</f>
        <v>0</v>
      </c>
      <c r="W55" s="364"/>
      <c r="X55" s="362"/>
    </row>
    <row r="56" spans="1:24" ht="17.399999999999999">
      <c r="A56" s="381"/>
      <c r="B56" s="46" t="s">
        <v>74</v>
      </c>
      <c r="C56" s="361">
        <f>COUNTIFS(K8:K52,"&gt;0")</f>
        <v>42</v>
      </c>
      <c r="D56" s="364"/>
      <c r="E56" s="364"/>
      <c r="F56" s="364"/>
      <c r="G56" s="364"/>
      <c r="H56" s="364"/>
      <c r="I56" s="364"/>
      <c r="J56" s="364"/>
      <c r="K56" s="362"/>
      <c r="L56" s="361">
        <f>COUNTIFS(M8:M52,"&gt;0")</f>
        <v>42</v>
      </c>
      <c r="M56" s="362"/>
      <c r="N56" s="361">
        <f>COUNTIFS(O8:O52,"&gt;0")</f>
        <v>42</v>
      </c>
      <c r="O56" s="362"/>
      <c r="P56" s="361">
        <f>COUNTIFS(Q8:Q52,"&gt;0")</f>
        <v>42</v>
      </c>
      <c r="Q56" s="362"/>
      <c r="R56" s="361">
        <f>COUNTIFS(S8:S52,"&gt;0")</f>
        <v>42</v>
      </c>
      <c r="S56" s="362"/>
      <c r="T56" s="361">
        <f>COUNTIFS(U8:U52,"&gt;0")</f>
        <v>42</v>
      </c>
      <c r="U56" s="362"/>
      <c r="V56" s="361">
        <f>COUNTIFS(W8:W52,"&gt;0")</f>
        <v>40</v>
      </c>
      <c r="W56" s="364"/>
      <c r="X56" s="362"/>
    </row>
    <row r="57" spans="1:24" ht="17.399999999999999">
      <c r="A57" s="381"/>
      <c r="B57" s="46" t="s">
        <v>75</v>
      </c>
      <c r="C57" s="361">
        <f>C56-C59</f>
        <v>41</v>
      </c>
      <c r="D57" s="364"/>
      <c r="E57" s="364"/>
      <c r="F57" s="364"/>
      <c r="G57" s="364"/>
      <c r="H57" s="364"/>
      <c r="I57" s="364"/>
      <c r="J57" s="364"/>
      <c r="K57" s="362"/>
      <c r="L57" s="361">
        <f>L56-L59</f>
        <v>40</v>
      </c>
      <c r="M57" s="362"/>
      <c r="N57" s="361">
        <f>N56-N59</f>
        <v>39</v>
      </c>
      <c r="O57" s="362"/>
      <c r="P57" s="361">
        <f>P56-P59</f>
        <v>41</v>
      </c>
      <c r="Q57" s="362"/>
      <c r="R57" s="361">
        <f>R56-R59</f>
        <v>42</v>
      </c>
      <c r="S57" s="362"/>
      <c r="T57" s="361">
        <f>T56-T59</f>
        <v>42</v>
      </c>
      <c r="U57" s="362"/>
      <c r="V57" s="361">
        <f>COUNTIF(X8:X52,"PASS")</f>
        <v>0</v>
      </c>
      <c r="W57" s="364"/>
      <c r="X57" s="362"/>
    </row>
    <row r="58" spans="1:24" ht="17.399999999999999">
      <c r="A58" s="381"/>
      <c r="B58" s="46" t="s">
        <v>76</v>
      </c>
      <c r="C58" s="363">
        <f>IF(C56=0,"",(C57/C56)*100)</f>
        <v>97.61904761904762</v>
      </c>
      <c r="D58" s="364"/>
      <c r="E58" s="364"/>
      <c r="F58" s="364"/>
      <c r="G58" s="364"/>
      <c r="H58" s="364"/>
      <c r="I58" s="364"/>
      <c r="J58" s="364"/>
      <c r="K58" s="362"/>
      <c r="L58" s="363">
        <f>IF(L56=0,"",(L57/L56)*100)</f>
        <v>95.238095238095227</v>
      </c>
      <c r="M58" s="362"/>
      <c r="N58" s="363">
        <f>IF(N56=0,"",(N57/N56)*100)</f>
        <v>92.857142857142861</v>
      </c>
      <c r="O58" s="362"/>
      <c r="P58" s="363">
        <f>IF(P56=0,"",(P57/P56)*100)</f>
        <v>97.61904761904762</v>
      </c>
      <c r="Q58" s="362"/>
      <c r="R58" s="363">
        <f>IF(R56=0,"",(R57/R56)*100)</f>
        <v>100</v>
      </c>
      <c r="S58" s="362"/>
      <c r="T58" s="363">
        <f>IF(T56=0,"",(T57/T56)*100)</f>
        <v>100</v>
      </c>
      <c r="U58" s="362"/>
      <c r="V58" s="363">
        <f>IF(V56=0,"",(V57/V56)*100)</f>
        <v>0</v>
      </c>
      <c r="W58" s="364"/>
      <c r="X58" s="362"/>
    </row>
    <row r="59" spans="1:24" ht="17.399999999999999">
      <c r="A59" s="381"/>
      <c r="B59" s="46" t="s">
        <v>77</v>
      </c>
      <c r="C59" s="361">
        <f>COUNTIFS(K8:K52,"&lt;=32",K8:K52,"&gt; 0")</f>
        <v>1</v>
      </c>
      <c r="D59" s="364"/>
      <c r="E59" s="364"/>
      <c r="F59" s="364"/>
      <c r="G59" s="364"/>
      <c r="H59" s="364"/>
      <c r="I59" s="364"/>
      <c r="J59" s="364"/>
      <c r="K59" s="362"/>
      <c r="L59" s="361">
        <f>COUNTIFS(M8:M52,"&lt;=32",M8:M52,"&gt; 0")</f>
        <v>2</v>
      </c>
      <c r="M59" s="362"/>
      <c r="N59" s="361">
        <f>COUNTIFS(O8:O52,"&lt;=32",O8:O52,"&gt; 0")</f>
        <v>3</v>
      </c>
      <c r="O59" s="362"/>
      <c r="P59" s="361">
        <f>COUNTIFS(Q8:Q52,"&lt;=32",Q8:Q52,"&gt; 0")</f>
        <v>1</v>
      </c>
      <c r="Q59" s="362"/>
      <c r="R59" s="361">
        <f>COUNTIFS(S8:S52,"&lt;=32",S8:S52,"&gt; 0")</f>
        <v>0</v>
      </c>
      <c r="S59" s="362"/>
      <c r="T59" s="361">
        <f>COUNTIFS(U8:U52,"&lt;=32",U8:U52,"&gt; 0")</f>
        <v>0</v>
      </c>
      <c r="U59" s="362"/>
      <c r="V59" s="361">
        <f>COUNTIFS(W8:W52,"&lt;=32",W8:W52,"&gt; 0")</f>
        <v>1</v>
      </c>
      <c r="W59" s="364"/>
      <c r="X59" s="362"/>
    </row>
    <row r="60" spans="1:24" ht="17.399999999999999">
      <c r="A60" s="381"/>
      <c r="B60" s="46" t="s">
        <v>78</v>
      </c>
      <c r="C60" s="361">
        <f>COUNTIFS(K8:K52,"&gt;=32.1",K8:K52,"&lt;=44")</f>
        <v>3</v>
      </c>
      <c r="D60" s="364"/>
      <c r="E60" s="364"/>
      <c r="F60" s="364"/>
      <c r="G60" s="364"/>
      <c r="H60" s="364"/>
      <c r="I60" s="364"/>
      <c r="J60" s="364"/>
      <c r="K60" s="362"/>
      <c r="L60" s="361">
        <f>COUNTIFS(M8:M52,"&gt;=32.1",M8:M52,"&lt;=44")</f>
        <v>12</v>
      </c>
      <c r="M60" s="362"/>
      <c r="N60" s="361">
        <f>COUNTIFS(O8:O52,"&gt;=32.1",O8:O52,"&lt;=44")</f>
        <v>8</v>
      </c>
      <c r="O60" s="362"/>
      <c r="P60" s="361">
        <f>COUNTIFS(Q8:Q52,"&gt;=32.1",Q8:Q52,"&lt;=44")</f>
        <v>2</v>
      </c>
      <c r="Q60" s="362"/>
      <c r="R60" s="361">
        <f>COUNTIFS(S8:S52,"&gt;=32.1",S8:S52,"&lt;=44")</f>
        <v>8</v>
      </c>
      <c r="S60" s="362"/>
      <c r="T60" s="361">
        <f>COUNTIFS(U8:U52,"&gt;=32.1",U8:U52,"&lt;=44")</f>
        <v>1</v>
      </c>
      <c r="U60" s="362"/>
      <c r="V60" s="361">
        <f>COUNTIFS(W8:W52,"&gt;=32.1",W8:W52,"&lt;=44")</f>
        <v>3</v>
      </c>
      <c r="W60" s="364"/>
      <c r="X60" s="362"/>
    </row>
    <row r="61" spans="1:24" ht="17.399999999999999">
      <c r="A61" s="381"/>
      <c r="B61" s="46" t="s">
        <v>79</v>
      </c>
      <c r="C61" s="361">
        <f>COUNTIFS(K8:K52,"&gt;=44.1",K8:K52,"&lt;=59")</f>
        <v>3</v>
      </c>
      <c r="D61" s="364"/>
      <c r="E61" s="364"/>
      <c r="F61" s="364"/>
      <c r="G61" s="364"/>
      <c r="H61" s="364"/>
      <c r="I61" s="364"/>
      <c r="J61" s="364"/>
      <c r="K61" s="362"/>
      <c r="L61" s="361">
        <f>COUNTIFS(M8:M52,"&gt;=44.1",M8:M52,"&lt;=59")</f>
        <v>4</v>
      </c>
      <c r="M61" s="362"/>
      <c r="N61" s="361">
        <f>COUNTIFS(O8:O52,"&gt;=44.1",O8:O52,"&lt;=59")</f>
        <v>8</v>
      </c>
      <c r="O61" s="362"/>
      <c r="P61" s="361">
        <f>COUNTIFS(Q8:Q52,"&gt;=44.1",Q8:Q52,"&lt;=59")</f>
        <v>6</v>
      </c>
      <c r="Q61" s="362"/>
      <c r="R61" s="361">
        <f>COUNTIFS(S8:S52,"&gt;=44.1",S8:S52,"&lt;=59")</f>
        <v>6</v>
      </c>
      <c r="S61" s="362"/>
      <c r="T61" s="361">
        <f>COUNTIFS(U8:U52,"&gt;=44.1",U8:U52,"&lt;=59")</f>
        <v>7</v>
      </c>
      <c r="U61" s="362"/>
      <c r="V61" s="361">
        <f>COUNTIFS(W8:W52,"&gt;=44.1",W8:W52,"&lt;=59")</f>
        <v>7</v>
      </c>
      <c r="W61" s="364"/>
      <c r="X61" s="362"/>
    </row>
    <row r="62" spans="1:24" ht="17.399999999999999">
      <c r="A62" s="381"/>
      <c r="B62" s="46" t="s">
        <v>80</v>
      </c>
      <c r="C62" s="361">
        <f>COUNTIFS(K8:K52,"&gt;=59.1",K8:K52,"&lt;=74")</f>
        <v>10</v>
      </c>
      <c r="D62" s="364"/>
      <c r="E62" s="364"/>
      <c r="F62" s="364"/>
      <c r="G62" s="364"/>
      <c r="H62" s="364"/>
      <c r="I62" s="364"/>
      <c r="J62" s="364"/>
      <c r="K62" s="362"/>
      <c r="L62" s="361">
        <f>COUNTIFS(M8:M52,"&gt;=59.1",M8:M52,"&lt;=74")</f>
        <v>14</v>
      </c>
      <c r="M62" s="362"/>
      <c r="N62" s="361">
        <f>COUNTIFS(O8:O52,"&gt;=59.1",O8:O52,"&lt;=74")</f>
        <v>10</v>
      </c>
      <c r="O62" s="362"/>
      <c r="P62" s="361">
        <f>COUNTIFS(Q8:Q52,"&gt;=59.1",Q8:Q52,"&lt;=74")</f>
        <v>11</v>
      </c>
      <c r="Q62" s="362"/>
      <c r="R62" s="361">
        <f>COUNTIFS(S8:S52,"&gt;=59.1",S8:S52,"&lt;=74")</f>
        <v>10</v>
      </c>
      <c r="S62" s="362"/>
      <c r="T62" s="361">
        <f>COUNTIFS(U8:U52,"&gt;=59.1",U8:U52,"&lt;=74")</f>
        <v>9</v>
      </c>
      <c r="U62" s="362"/>
      <c r="V62" s="361">
        <f>COUNTIFS(W8:W52,"&gt;=59.1",W8:W52,"&lt;=74")</f>
        <v>11</v>
      </c>
      <c r="W62" s="364"/>
      <c r="X62" s="362"/>
    </row>
    <row r="63" spans="1:24" ht="17.399999999999999">
      <c r="A63" s="381"/>
      <c r="B63" s="46" t="s">
        <v>81</v>
      </c>
      <c r="C63" s="361">
        <f>COUNTIFS(K8:K52,"&gt;=74.1",K8:K52,"&lt;89")</f>
        <v>19</v>
      </c>
      <c r="D63" s="364"/>
      <c r="E63" s="364"/>
      <c r="F63" s="364"/>
      <c r="G63" s="364"/>
      <c r="H63" s="364"/>
      <c r="I63" s="364"/>
      <c r="J63" s="364"/>
      <c r="K63" s="362"/>
      <c r="L63" s="361">
        <f>COUNTIFS(M8:M52,"&gt;=74.1",M8:M52,"&lt;89")</f>
        <v>6</v>
      </c>
      <c r="M63" s="362"/>
      <c r="N63" s="361">
        <f>COUNTIFS(O8:O52,"&gt;=74.1",O8:O52,"&lt;89")</f>
        <v>7</v>
      </c>
      <c r="O63" s="362"/>
      <c r="P63" s="361">
        <f>COUNTIFS(Q8:Q52,"&gt;=74.1",Q8:Q52,"&lt;89")</f>
        <v>12</v>
      </c>
      <c r="Q63" s="362"/>
      <c r="R63" s="361">
        <f>COUNTIFS(S8:S52,"&gt;=74.1",S8:S52,"&lt;89")</f>
        <v>14</v>
      </c>
      <c r="S63" s="362"/>
      <c r="T63" s="361">
        <f>COUNTIFS(U8:U52,"&gt;=74.1",U8:U52,"&lt;89")</f>
        <v>14</v>
      </c>
      <c r="U63" s="362"/>
      <c r="V63" s="361">
        <f>COUNTIFS(W8:W52,"&gt;=74.1",W8:W52,"&lt;89")</f>
        <v>14</v>
      </c>
      <c r="W63" s="364"/>
      <c r="X63" s="362"/>
    </row>
    <row r="64" spans="1:24" ht="17.399999999999999">
      <c r="A64" s="382"/>
      <c r="B64" s="48" t="s">
        <v>82</v>
      </c>
      <c r="C64" s="370">
        <f>COUNTIF(K8:K52,"&gt;=89.1")</f>
        <v>6</v>
      </c>
      <c r="D64" s="369"/>
      <c r="E64" s="369"/>
      <c r="F64" s="369"/>
      <c r="G64" s="369"/>
      <c r="H64" s="369"/>
      <c r="I64" s="369"/>
      <c r="J64" s="369"/>
      <c r="K64" s="371"/>
      <c r="L64" s="370">
        <f>COUNTIF(M8:M52,"&gt;=89.1")</f>
        <v>4</v>
      </c>
      <c r="M64" s="371"/>
      <c r="N64" s="370">
        <f>COUNTIF(O8:O52,"&gt;=89.1")</f>
        <v>6</v>
      </c>
      <c r="O64" s="371"/>
      <c r="P64" s="370">
        <f>COUNTIF(Q8:Q52,"&gt;=89.1")</f>
        <v>10</v>
      </c>
      <c r="Q64" s="371"/>
      <c r="R64" s="370">
        <f>COUNTIF(S8:S52,"&gt;=89.1")</f>
        <v>4</v>
      </c>
      <c r="S64" s="371"/>
      <c r="T64" s="370">
        <f>COUNTIF(U8:U52,"&gt;=89.1")</f>
        <v>11</v>
      </c>
      <c r="U64" s="371"/>
      <c r="V64" s="361">
        <f>COUNTIF(W8:W52,"&gt;=89.1")</f>
        <v>4</v>
      </c>
      <c r="W64" s="364"/>
      <c r="X64" s="362"/>
    </row>
    <row r="65" spans="1:24" ht="17.399999999999999">
      <c r="A65" s="388" t="s">
        <v>83</v>
      </c>
      <c r="B65" s="364"/>
      <c r="C65" s="372"/>
      <c r="D65" s="364"/>
      <c r="E65" s="364"/>
      <c r="F65" s="364"/>
      <c r="G65" s="364"/>
      <c r="H65" s="364"/>
      <c r="I65" s="364"/>
      <c r="J65" s="364"/>
      <c r="K65" s="362"/>
      <c r="L65" s="372"/>
      <c r="M65" s="362"/>
      <c r="N65" s="372"/>
      <c r="O65" s="362"/>
      <c r="P65" s="372"/>
      <c r="Q65" s="362"/>
      <c r="R65" s="372"/>
      <c r="S65" s="362"/>
      <c r="T65" s="372"/>
      <c r="U65" s="362"/>
      <c r="V65" s="367" t="s">
        <v>84</v>
      </c>
      <c r="W65" s="364"/>
      <c r="X65" s="82">
        <f>IF(V56=0,"",V55/V56*100)</f>
        <v>0</v>
      </c>
    </row>
    <row r="66" spans="1:24" ht="17.399999999999999">
      <c r="A66" s="389" t="s">
        <v>85</v>
      </c>
      <c r="B66" s="369"/>
      <c r="C66" s="390"/>
      <c r="D66" s="369"/>
      <c r="E66" s="369"/>
      <c r="F66" s="369"/>
      <c r="G66" s="369"/>
      <c r="H66" s="369"/>
      <c r="I66" s="369"/>
      <c r="J66" s="369"/>
      <c r="K66" s="369"/>
      <c r="L66" s="369"/>
      <c r="M66" s="369"/>
      <c r="N66" s="369"/>
      <c r="O66" s="369"/>
      <c r="P66" s="369"/>
      <c r="Q66" s="369"/>
      <c r="R66" s="369"/>
      <c r="S66" s="369"/>
      <c r="T66" s="368" t="s">
        <v>86</v>
      </c>
      <c r="U66" s="369"/>
      <c r="V66" s="369"/>
      <c r="W66" s="369"/>
      <c r="X66" s="369"/>
    </row>
  </sheetData>
  <mergeCells count="109">
    <mergeCell ref="A65:B65"/>
    <mergeCell ref="C65:K65"/>
    <mergeCell ref="L65:M65"/>
    <mergeCell ref="N65:O65"/>
    <mergeCell ref="P65:Q65"/>
    <mergeCell ref="R65:S65"/>
    <mergeCell ref="A66:B66"/>
    <mergeCell ref="C66:S66"/>
    <mergeCell ref="A53:B53"/>
    <mergeCell ref="A54:A64"/>
    <mergeCell ref="L54:M54"/>
    <mergeCell ref="N54:O54"/>
    <mergeCell ref="R55:S55"/>
    <mergeCell ref="R59:S59"/>
    <mergeCell ref="C60:K60"/>
    <mergeCell ref="L60:M60"/>
    <mergeCell ref="N60:O60"/>
    <mergeCell ref="P60:Q60"/>
    <mergeCell ref="R60:S60"/>
    <mergeCell ref="C61:K61"/>
    <mergeCell ref="L61:M61"/>
    <mergeCell ref="N61:O61"/>
    <mergeCell ref="P61:Q61"/>
    <mergeCell ref="R61:S61"/>
    <mergeCell ref="C62:K62"/>
    <mergeCell ref="L62:M62"/>
    <mergeCell ref="N62:O62"/>
    <mergeCell ref="P62:Q62"/>
    <mergeCell ref="R62:S62"/>
    <mergeCell ref="C63:K63"/>
    <mergeCell ref="L63:M63"/>
    <mergeCell ref="N63:O63"/>
    <mergeCell ref="T57:U57"/>
    <mergeCell ref="V57:X57"/>
    <mergeCell ref="V58:X58"/>
    <mergeCell ref="R63:S63"/>
    <mergeCell ref="C64:K64"/>
    <mergeCell ref="L64:M64"/>
    <mergeCell ref="N64:O64"/>
    <mergeCell ref="P64:Q64"/>
    <mergeCell ref="R64:S64"/>
    <mergeCell ref="P63:Q63"/>
    <mergeCell ref="T54:U54"/>
    <mergeCell ref="V54:X54"/>
    <mergeCell ref="C55:K55"/>
    <mergeCell ref="L55:M55"/>
    <mergeCell ref="N55:O55"/>
    <mergeCell ref="P55:Q55"/>
    <mergeCell ref="T55:U55"/>
    <mergeCell ref="V55:X55"/>
    <mergeCell ref="L56:M56"/>
    <mergeCell ref="N56:O56"/>
    <mergeCell ref="T56:U56"/>
    <mergeCell ref="V56:X56"/>
    <mergeCell ref="A1:X1"/>
    <mergeCell ref="A2:K2"/>
    <mergeCell ref="L2:Q2"/>
    <mergeCell ref="R2:X2"/>
    <mergeCell ref="A3:B3"/>
    <mergeCell ref="L3:Q3"/>
    <mergeCell ref="R3:X3"/>
    <mergeCell ref="T5:U5"/>
    <mergeCell ref="V5:W5"/>
    <mergeCell ref="C3:K3"/>
    <mergeCell ref="A4:X4"/>
    <mergeCell ref="A5:A7"/>
    <mergeCell ref="B5:B7"/>
    <mergeCell ref="C5:K5"/>
    <mergeCell ref="L5:M5"/>
    <mergeCell ref="N5:O5"/>
    <mergeCell ref="X5:X7"/>
    <mergeCell ref="P5:Q5"/>
    <mergeCell ref="R5:S5"/>
    <mergeCell ref="T58:U58"/>
    <mergeCell ref="T59:U59"/>
    <mergeCell ref="V59:X59"/>
    <mergeCell ref="T60:U60"/>
    <mergeCell ref="V60:X60"/>
    <mergeCell ref="T61:U61"/>
    <mergeCell ref="V61:X61"/>
    <mergeCell ref="V65:W65"/>
    <mergeCell ref="T66:X66"/>
    <mergeCell ref="T62:U62"/>
    <mergeCell ref="V62:X62"/>
    <mergeCell ref="T63:U63"/>
    <mergeCell ref="V63:X63"/>
    <mergeCell ref="T64:U64"/>
    <mergeCell ref="V64:X64"/>
    <mergeCell ref="T65:U65"/>
    <mergeCell ref="C58:K58"/>
    <mergeCell ref="L58:M58"/>
    <mergeCell ref="N58:O58"/>
    <mergeCell ref="P58:Q58"/>
    <mergeCell ref="R58:S58"/>
    <mergeCell ref="C59:K59"/>
    <mergeCell ref="L59:M59"/>
    <mergeCell ref="N59:O59"/>
    <mergeCell ref="P59:Q59"/>
    <mergeCell ref="C54:K54"/>
    <mergeCell ref="C56:K56"/>
    <mergeCell ref="P56:Q56"/>
    <mergeCell ref="R56:S56"/>
    <mergeCell ref="C57:K57"/>
    <mergeCell ref="L57:M57"/>
    <mergeCell ref="N57:O57"/>
    <mergeCell ref="P57:Q57"/>
    <mergeCell ref="R57:S57"/>
    <mergeCell ref="P54:Q54"/>
    <mergeCell ref="R54:S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76"/>
  <sheetViews>
    <sheetView workbookViewId="0">
      <selection sqref="A1:Q1"/>
    </sheetView>
  </sheetViews>
  <sheetFormatPr defaultColWidth="12.6640625" defaultRowHeight="15.75" customHeight="1"/>
  <cols>
    <col min="2" max="2" width="21.77734375" customWidth="1"/>
  </cols>
  <sheetData>
    <row r="1" spans="1:17" ht="15.75" customHeight="1">
      <c r="A1" s="392" t="s">
        <v>87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</row>
    <row r="2" spans="1:17" ht="15.75" customHeight="1">
      <c r="A2" s="373" t="s">
        <v>0</v>
      </c>
      <c r="B2" s="366"/>
      <c r="C2" s="366"/>
      <c r="D2" s="366"/>
      <c r="E2" s="374" t="s">
        <v>1</v>
      </c>
      <c r="F2" s="366"/>
      <c r="G2" s="366"/>
      <c r="H2" s="366"/>
      <c r="I2" s="366"/>
      <c r="J2" s="366"/>
      <c r="K2" s="375" t="s">
        <v>2</v>
      </c>
      <c r="L2" s="366"/>
      <c r="M2" s="366"/>
      <c r="N2" s="366"/>
      <c r="O2" s="366"/>
      <c r="P2" s="366"/>
      <c r="Q2" s="366"/>
    </row>
    <row r="3" spans="1:17" ht="15.75" customHeight="1">
      <c r="A3" s="383" t="s">
        <v>141</v>
      </c>
      <c r="B3" s="366"/>
      <c r="C3" s="374" t="s">
        <v>187</v>
      </c>
      <c r="D3" s="366"/>
      <c r="E3" s="374" t="s">
        <v>4</v>
      </c>
      <c r="F3" s="366"/>
      <c r="G3" s="366"/>
      <c r="H3" s="366"/>
      <c r="I3" s="366"/>
      <c r="J3" s="366"/>
      <c r="K3" s="374" t="s">
        <v>5</v>
      </c>
      <c r="L3" s="366"/>
      <c r="M3" s="366"/>
      <c r="N3" s="366"/>
      <c r="O3" s="366"/>
      <c r="P3" s="366"/>
      <c r="Q3" s="366"/>
    </row>
    <row r="4" spans="1:17" ht="15.75" customHeight="1">
      <c r="A4" s="377" t="s">
        <v>188</v>
      </c>
      <c r="B4" s="378"/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8"/>
      <c r="O4" s="378"/>
      <c r="P4" s="378"/>
      <c r="Q4" s="378"/>
    </row>
    <row r="5" spans="1:17">
      <c r="A5" s="384" t="s">
        <v>7</v>
      </c>
      <c r="B5" s="385" t="s">
        <v>8</v>
      </c>
      <c r="C5" s="379" t="s">
        <v>9</v>
      </c>
      <c r="D5" s="360"/>
      <c r="E5" s="379" t="s">
        <v>10</v>
      </c>
      <c r="F5" s="360"/>
      <c r="G5" s="379" t="s">
        <v>11</v>
      </c>
      <c r="H5" s="360"/>
      <c r="I5" s="379" t="s">
        <v>12</v>
      </c>
      <c r="J5" s="360"/>
      <c r="K5" s="379" t="s">
        <v>13</v>
      </c>
      <c r="L5" s="360"/>
      <c r="M5" s="379" t="s">
        <v>14</v>
      </c>
      <c r="N5" s="360"/>
      <c r="O5" s="367" t="s">
        <v>15</v>
      </c>
      <c r="P5" s="362"/>
      <c r="Q5" s="380" t="s">
        <v>16</v>
      </c>
    </row>
    <row r="6" spans="1:17">
      <c r="A6" s="381"/>
      <c r="B6" s="381"/>
      <c r="C6" s="4" t="s">
        <v>17</v>
      </c>
      <c r="D6" s="5">
        <v>40</v>
      </c>
      <c r="E6" s="4" t="s">
        <v>17</v>
      </c>
      <c r="F6" s="5">
        <v>40</v>
      </c>
      <c r="G6" s="4" t="s">
        <v>17</v>
      </c>
      <c r="H6" s="5">
        <v>40</v>
      </c>
      <c r="I6" s="4" t="s">
        <v>17</v>
      </c>
      <c r="J6" s="5">
        <v>40</v>
      </c>
      <c r="K6" s="4" t="s">
        <v>17</v>
      </c>
      <c r="L6" s="5">
        <v>40</v>
      </c>
      <c r="M6" s="4" t="s">
        <v>17</v>
      </c>
      <c r="N6" s="5">
        <v>40</v>
      </c>
      <c r="O6" s="4" t="s">
        <v>17</v>
      </c>
      <c r="P6" s="5">
        <v>600</v>
      </c>
      <c r="Q6" s="381"/>
    </row>
    <row r="7" spans="1:17">
      <c r="A7" s="382"/>
      <c r="B7" s="382"/>
      <c r="C7" s="6" t="s">
        <v>18</v>
      </c>
      <c r="D7" s="6" t="s">
        <v>19</v>
      </c>
      <c r="E7" s="6" t="s">
        <v>18</v>
      </c>
      <c r="F7" s="6" t="s">
        <v>19</v>
      </c>
      <c r="G7" s="6" t="s">
        <v>18</v>
      </c>
      <c r="H7" s="6" t="s">
        <v>19</v>
      </c>
      <c r="I7" s="6" t="s">
        <v>18</v>
      </c>
      <c r="J7" s="6" t="s">
        <v>19</v>
      </c>
      <c r="K7" s="6" t="s">
        <v>18</v>
      </c>
      <c r="L7" s="6" t="s">
        <v>19</v>
      </c>
      <c r="M7" s="6" t="s">
        <v>18</v>
      </c>
      <c r="N7" s="6" t="s">
        <v>19</v>
      </c>
      <c r="O7" s="6" t="s">
        <v>18</v>
      </c>
      <c r="P7" s="6" t="s">
        <v>19</v>
      </c>
      <c r="Q7" s="382"/>
    </row>
    <row r="8" spans="1:17" ht="15.75" customHeight="1">
      <c r="A8" s="86">
        <v>1</v>
      </c>
      <c r="B8" s="108" t="s">
        <v>189</v>
      </c>
      <c r="C8" s="33">
        <v>38</v>
      </c>
      <c r="D8" s="12">
        <f t="shared" ref="D8:D62" si="0">IF(C8="","",IF(C8="AB",AB,IF(C8="TC","TC",(C8/D$6)*100)))</f>
        <v>95</v>
      </c>
      <c r="E8" s="109">
        <v>37</v>
      </c>
      <c r="F8" s="12">
        <f t="shared" ref="F8:F62" si="1">IF(E8="","",IF(E8="AB",AB,IF(E8="TC","TC",(E8/F$6)*100)))</f>
        <v>92.5</v>
      </c>
      <c r="G8" s="110">
        <v>26</v>
      </c>
      <c r="H8" s="14">
        <f t="shared" ref="H8:H62" si="2">IF(G8="","",IF(G8="AB",AB,IF(G8="TC","TC",(G8/H$6)*100)))</f>
        <v>65</v>
      </c>
      <c r="I8" s="41" t="s">
        <v>24</v>
      </c>
      <c r="J8" s="15" t="e">
        <f t="shared" ref="J8:J62" si="3">IF(I8="","",IF(I8="AB",AB,IF(I8="TC","TC",(I8/J$6)*100)))</f>
        <v>#NAME?</v>
      </c>
      <c r="K8" s="12">
        <v>40</v>
      </c>
      <c r="L8" s="12">
        <f t="shared" ref="L8:L62" si="4">IF(K8="","",IF(K8="AB",AB,IF(K8="TC","TC",(K8/L$6)*100)))</f>
        <v>100</v>
      </c>
      <c r="M8" s="12">
        <v>31</v>
      </c>
      <c r="N8" s="12">
        <f t="shared" ref="N8:N62" si="5">IF(M8="","",IF(M8="AB",AB,IF(M8="TC","TC",(M8/N$6)*100)))</f>
        <v>77.5</v>
      </c>
      <c r="O8" s="12" t="e">
        <f t="shared" ref="O8:O51" si="6">SUM(D8,F8,H8,J8,L8,N8)</f>
        <v>#NAME?</v>
      </c>
      <c r="P8" s="17" t="e">
        <f t="shared" ref="P8:P51" si="7">IF(O8="","",IF(O8="AB","AB",(O8/P$6)*100))</f>
        <v>#NAME?</v>
      </c>
      <c r="Q8" s="22"/>
    </row>
    <row r="9" spans="1:17" ht="15.75" customHeight="1">
      <c r="A9" s="86">
        <v>2</v>
      </c>
      <c r="B9" s="108" t="s">
        <v>190</v>
      </c>
      <c r="C9" s="33">
        <v>30</v>
      </c>
      <c r="D9" s="12">
        <f t="shared" si="0"/>
        <v>75</v>
      </c>
      <c r="E9" s="111">
        <v>27</v>
      </c>
      <c r="F9" s="12">
        <f t="shared" si="1"/>
        <v>67.5</v>
      </c>
      <c r="G9" s="111">
        <v>22</v>
      </c>
      <c r="H9" s="14">
        <f t="shared" si="2"/>
        <v>55.000000000000007</v>
      </c>
      <c r="I9" s="41">
        <v>25</v>
      </c>
      <c r="J9" s="15">
        <f t="shared" si="3"/>
        <v>62.5</v>
      </c>
      <c r="K9" s="12">
        <v>27</v>
      </c>
      <c r="L9" s="12">
        <f t="shared" si="4"/>
        <v>67.5</v>
      </c>
      <c r="M9" s="12">
        <v>35</v>
      </c>
      <c r="N9" s="12">
        <f t="shared" si="5"/>
        <v>87.5</v>
      </c>
      <c r="O9" s="12">
        <f t="shared" si="6"/>
        <v>415</v>
      </c>
      <c r="P9" s="17">
        <f t="shared" si="7"/>
        <v>69.166666666666671</v>
      </c>
      <c r="Q9" s="22"/>
    </row>
    <row r="10" spans="1:17" ht="15.75" customHeight="1">
      <c r="A10" s="86">
        <v>3</v>
      </c>
      <c r="B10" s="108" t="s">
        <v>191</v>
      </c>
      <c r="C10" s="33">
        <v>31</v>
      </c>
      <c r="D10" s="12">
        <f t="shared" si="0"/>
        <v>77.5</v>
      </c>
      <c r="E10" s="111">
        <v>24</v>
      </c>
      <c r="F10" s="12">
        <f t="shared" si="1"/>
        <v>60</v>
      </c>
      <c r="G10" s="111">
        <v>22</v>
      </c>
      <c r="H10" s="14">
        <f t="shared" si="2"/>
        <v>55.000000000000007</v>
      </c>
      <c r="I10" s="41">
        <v>31</v>
      </c>
      <c r="J10" s="15">
        <f t="shared" si="3"/>
        <v>77.5</v>
      </c>
      <c r="K10" s="12">
        <v>30</v>
      </c>
      <c r="L10" s="12">
        <f t="shared" si="4"/>
        <v>75</v>
      </c>
      <c r="M10" s="37">
        <v>34</v>
      </c>
      <c r="N10" s="37">
        <f t="shared" si="5"/>
        <v>85</v>
      </c>
      <c r="O10" s="12">
        <f t="shared" si="6"/>
        <v>430</v>
      </c>
      <c r="P10" s="17">
        <f t="shared" si="7"/>
        <v>71.666666666666671</v>
      </c>
      <c r="Q10" s="22"/>
    </row>
    <row r="11" spans="1:17" ht="15.75" customHeight="1">
      <c r="A11" s="86">
        <v>4</v>
      </c>
      <c r="B11" s="108" t="s">
        <v>192</v>
      </c>
      <c r="C11" s="33">
        <v>39</v>
      </c>
      <c r="D11" s="12">
        <f t="shared" si="0"/>
        <v>97.5</v>
      </c>
      <c r="E11" s="111">
        <v>34</v>
      </c>
      <c r="F11" s="12">
        <f t="shared" si="1"/>
        <v>85</v>
      </c>
      <c r="G11" s="111">
        <v>32</v>
      </c>
      <c r="H11" s="14">
        <f t="shared" si="2"/>
        <v>80</v>
      </c>
      <c r="I11" s="41">
        <v>39</v>
      </c>
      <c r="J11" s="15">
        <f t="shared" si="3"/>
        <v>97.5</v>
      </c>
      <c r="K11" s="12">
        <v>39</v>
      </c>
      <c r="L11" s="12">
        <f t="shared" si="4"/>
        <v>97.5</v>
      </c>
      <c r="M11" s="12">
        <v>31</v>
      </c>
      <c r="N11" s="12">
        <f t="shared" si="5"/>
        <v>77.5</v>
      </c>
      <c r="O11" s="12">
        <f t="shared" si="6"/>
        <v>535</v>
      </c>
      <c r="P11" s="17">
        <f t="shared" si="7"/>
        <v>89.166666666666671</v>
      </c>
      <c r="Q11" s="22"/>
    </row>
    <row r="12" spans="1:17" ht="15.75" customHeight="1">
      <c r="A12" s="86">
        <v>5</v>
      </c>
      <c r="B12" s="108" t="s">
        <v>193</v>
      </c>
      <c r="C12" s="33">
        <v>19</v>
      </c>
      <c r="D12" s="12">
        <f t="shared" si="0"/>
        <v>47.5</v>
      </c>
      <c r="E12" s="111">
        <v>15</v>
      </c>
      <c r="F12" s="12">
        <f t="shared" si="1"/>
        <v>37.5</v>
      </c>
      <c r="G12" s="111">
        <v>13</v>
      </c>
      <c r="H12" s="14">
        <f t="shared" si="2"/>
        <v>32.5</v>
      </c>
      <c r="I12" s="41">
        <v>13</v>
      </c>
      <c r="J12" s="15">
        <f t="shared" si="3"/>
        <v>32.5</v>
      </c>
      <c r="K12" s="12">
        <v>23</v>
      </c>
      <c r="L12" s="12">
        <f t="shared" si="4"/>
        <v>57.499999999999993</v>
      </c>
      <c r="M12" s="12">
        <v>24</v>
      </c>
      <c r="N12" s="70">
        <f t="shared" si="5"/>
        <v>60</v>
      </c>
      <c r="O12" s="12">
        <f t="shared" si="6"/>
        <v>267.5</v>
      </c>
      <c r="P12" s="17">
        <f t="shared" si="7"/>
        <v>44.583333333333336</v>
      </c>
      <c r="Q12" s="22"/>
    </row>
    <row r="13" spans="1:17" ht="15.75" customHeight="1">
      <c r="A13" s="86">
        <v>6</v>
      </c>
      <c r="B13" s="108" t="s">
        <v>194</v>
      </c>
      <c r="C13" s="33">
        <v>37</v>
      </c>
      <c r="D13" s="12">
        <f t="shared" si="0"/>
        <v>92.5</v>
      </c>
      <c r="E13" s="111">
        <v>30</v>
      </c>
      <c r="F13" s="12">
        <f t="shared" si="1"/>
        <v>75</v>
      </c>
      <c r="G13" s="111">
        <v>31</v>
      </c>
      <c r="H13" s="14">
        <f t="shared" si="2"/>
        <v>77.5</v>
      </c>
      <c r="I13" s="41">
        <v>34</v>
      </c>
      <c r="J13" s="15">
        <f t="shared" si="3"/>
        <v>85</v>
      </c>
      <c r="K13" s="12">
        <v>30</v>
      </c>
      <c r="L13" s="12">
        <f t="shared" si="4"/>
        <v>75</v>
      </c>
      <c r="M13" s="12">
        <v>31</v>
      </c>
      <c r="N13" s="70">
        <f t="shared" si="5"/>
        <v>77.5</v>
      </c>
      <c r="O13" s="12">
        <f t="shared" si="6"/>
        <v>482.5</v>
      </c>
      <c r="P13" s="17">
        <f t="shared" si="7"/>
        <v>80.416666666666671</v>
      </c>
      <c r="Q13" s="22"/>
    </row>
    <row r="14" spans="1:17" ht="15.75" customHeight="1">
      <c r="A14" s="86">
        <v>7</v>
      </c>
      <c r="B14" s="108" t="s">
        <v>195</v>
      </c>
      <c r="C14" s="33">
        <v>38</v>
      </c>
      <c r="D14" s="12">
        <f t="shared" si="0"/>
        <v>95</v>
      </c>
      <c r="E14" s="111">
        <v>37</v>
      </c>
      <c r="F14" s="12">
        <f t="shared" si="1"/>
        <v>92.5</v>
      </c>
      <c r="G14" s="111">
        <v>34</v>
      </c>
      <c r="H14" s="14">
        <f t="shared" si="2"/>
        <v>85</v>
      </c>
      <c r="I14" s="41">
        <v>36</v>
      </c>
      <c r="J14" s="15">
        <f t="shared" si="3"/>
        <v>90</v>
      </c>
      <c r="K14" s="41">
        <v>40</v>
      </c>
      <c r="L14" s="12">
        <f t="shared" si="4"/>
        <v>100</v>
      </c>
      <c r="M14" s="12">
        <v>38</v>
      </c>
      <c r="N14" s="12">
        <f t="shared" si="5"/>
        <v>95</v>
      </c>
      <c r="O14" s="12">
        <f t="shared" si="6"/>
        <v>557.5</v>
      </c>
      <c r="P14" s="17">
        <f t="shared" si="7"/>
        <v>92.916666666666671</v>
      </c>
      <c r="Q14" s="22"/>
    </row>
    <row r="15" spans="1:17" ht="15.75" customHeight="1">
      <c r="A15" s="86">
        <v>8</v>
      </c>
      <c r="B15" s="108" t="s">
        <v>196</v>
      </c>
      <c r="C15" s="33">
        <v>20</v>
      </c>
      <c r="D15" s="12">
        <f t="shared" si="0"/>
        <v>50</v>
      </c>
      <c r="E15" s="111">
        <v>13</v>
      </c>
      <c r="F15" s="70">
        <f t="shared" si="1"/>
        <v>32.5</v>
      </c>
      <c r="G15" s="111">
        <v>9</v>
      </c>
      <c r="H15" s="88">
        <f t="shared" si="2"/>
        <v>22.5</v>
      </c>
      <c r="I15" s="41">
        <v>16</v>
      </c>
      <c r="J15" s="64">
        <f t="shared" si="3"/>
        <v>40</v>
      </c>
      <c r="K15" s="41">
        <v>28</v>
      </c>
      <c r="L15" s="12">
        <f t="shared" si="4"/>
        <v>70</v>
      </c>
      <c r="M15" s="12">
        <v>15</v>
      </c>
      <c r="N15" s="12">
        <f t="shared" si="5"/>
        <v>37.5</v>
      </c>
      <c r="O15" s="12">
        <f t="shared" si="6"/>
        <v>252.5</v>
      </c>
      <c r="P15" s="17">
        <f t="shared" si="7"/>
        <v>42.083333333333336</v>
      </c>
      <c r="Q15" s="22"/>
    </row>
    <row r="16" spans="1:17" ht="15.75" customHeight="1">
      <c r="A16" s="86">
        <v>9</v>
      </c>
      <c r="B16" s="108" t="s">
        <v>197</v>
      </c>
      <c r="C16" s="33">
        <v>37</v>
      </c>
      <c r="D16" s="12">
        <f t="shared" si="0"/>
        <v>92.5</v>
      </c>
      <c r="E16" s="111">
        <v>31</v>
      </c>
      <c r="F16" s="12">
        <f t="shared" si="1"/>
        <v>77.5</v>
      </c>
      <c r="G16" s="111">
        <v>32</v>
      </c>
      <c r="H16" s="14">
        <f t="shared" si="2"/>
        <v>80</v>
      </c>
      <c r="I16" s="41">
        <v>38</v>
      </c>
      <c r="J16" s="15">
        <f t="shared" si="3"/>
        <v>95</v>
      </c>
      <c r="K16" s="12">
        <v>39</v>
      </c>
      <c r="L16" s="12">
        <f t="shared" si="4"/>
        <v>97.5</v>
      </c>
      <c r="M16" s="12">
        <v>38</v>
      </c>
      <c r="N16" s="12">
        <f t="shared" si="5"/>
        <v>95</v>
      </c>
      <c r="O16" s="12">
        <f t="shared" si="6"/>
        <v>537.5</v>
      </c>
      <c r="P16" s="17">
        <f t="shared" si="7"/>
        <v>89.583333333333343</v>
      </c>
      <c r="Q16" s="22"/>
    </row>
    <row r="17" spans="1:17" ht="15.75" customHeight="1">
      <c r="A17" s="86">
        <v>10</v>
      </c>
      <c r="B17" s="108" t="s">
        <v>198</v>
      </c>
      <c r="C17" s="33">
        <v>37</v>
      </c>
      <c r="D17" s="12">
        <f t="shared" si="0"/>
        <v>92.5</v>
      </c>
      <c r="E17" s="111">
        <v>35</v>
      </c>
      <c r="F17" s="12">
        <f t="shared" si="1"/>
        <v>87.5</v>
      </c>
      <c r="G17" s="111">
        <v>34</v>
      </c>
      <c r="H17" s="14">
        <f t="shared" si="2"/>
        <v>85</v>
      </c>
      <c r="I17" s="41">
        <v>37</v>
      </c>
      <c r="J17" s="15">
        <f t="shared" si="3"/>
        <v>92.5</v>
      </c>
      <c r="K17" s="12">
        <v>37</v>
      </c>
      <c r="L17" s="12">
        <f t="shared" si="4"/>
        <v>92.5</v>
      </c>
      <c r="M17" s="12">
        <v>36</v>
      </c>
      <c r="N17" s="70">
        <f t="shared" si="5"/>
        <v>90</v>
      </c>
      <c r="O17" s="12">
        <f t="shared" si="6"/>
        <v>540</v>
      </c>
      <c r="P17" s="17">
        <f t="shared" si="7"/>
        <v>90</v>
      </c>
      <c r="Q17" s="22"/>
    </row>
    <row r="18" spans="1:17" ht="15.75" customHeight="1">
      <c r="A18" s="86">
        <v>11</v>
      </c>
      <c r="B18" s="108" t="s">
        <v>199</v>
      </c>
      <c r="C18" s="33">
        <v>37</v>
      </c>
      <c r="D18" s="12">
        <f t="shared" si="0"/>
        <v>92.5</v>
      </c>
      <c r="E18" s="111">
        <v>32</v>
      </c>
      <c r="F18" s="12">
        <f t="shared" si="1"/>
        <v>80</v>
      </c>
      <c r="G18" s="111">
        <v>22</v>
      </c>
      <c r="H18" s="14">
        <f t="shared" si="2"/>
        <v>55.000000000000007</v>
      </c>
      <c r="I18" s="41">
        <v>32</v>
      </c>
      <c r="J18" s="15">
        <f t="shared" si="3"/>
        <v>80</v>
      </c>
      <c r="K18" s="12">
        <v>30</v>
      </c>
      <c r="L18" s="12">
        <f t="shared" si="4"/>
        <v>75</v>
      </c>
      <c r="M18" s="12">
        <v>25</v>
      </c>
      <c r="N18" s="12">
        <f t="shared" si="5"/>
        <v>62.5</v>
      </c>
      <c r="O18" s="12">
        <f t="shared" si="6"/>
        <v>445</v>
      </c>
      <c r="P18" s="17">
        <f t="shared" si="7"/>
        <v>74.166666666666671</v>
      </c>
      <c r="Q18" s="22"/>
    </row>
    <row r="19" spans="1:17" ht="15.75" customHeight="1">
      <c r="A19" s="86">
        <v>12</v>
      </c>
      <c r="B19" s="108" t="s">
        <v>200</v>
      </c>
      <c r="C19" s="33">
        <v>26</v>
      </c>
      <c r="D19" s="12">
        <f t="shared" si="0"/>
        <v>65</v>
      </c>
      <c r="E19" s="111">
        <v>20</v>
      </c>
      <c r="F19" s="12">
        <f t="shared" si="1"/>
        <v>50</v>
      </c>
      <c r="G19" s="111">
        <v>23</v>
      </c>
      <c r="H19" s="14">
        <f t="shared" si="2"/>
        <v>57.499999999999993</v>
      </c>
      <c r="I19" s="41">
        <v>25</v>
      </c>
      <c r="J19" s="15">
        <f t="shared" si="3"/>
        <v>62.5</v>
      </c>
      <c r="K19" s="12">
        <v>27</v>
      </c>
      <c r="L19" s="12">
        <f t="shared" si="4"/>
        <v>67.5</v>
      </c>
      <c r="M19" s="12">
        <v>18</v>
      </c>
      <c r="N19" s="12">
        <f t="shared" si="5"/>
        <v>45</v>
      </c>
      <c r="O19" s="12">
        <f t="shared" si="6"/>
        <v>347.5</v>
      </c>
      <c r="P19" s="17">
        <f t="shared" si="7"/>
        <v>57.916666666666671</v>
      </c>
      <c r="Q19" s="22"/>
    </row>
    <row r="20" spans="1:17" ht="15.75" customHeight="1">
      <c r="A20" s="86">
        <v>13</v>
      </c>
      <c r="B20" s="108" t="s">
        <v>201</v>
      </c>
      <c r="C20" s="33">
        <v>38</v>
      </c>
      <c r="D20" s="12">
        <f t="shared" si="0"/>
        <v>95</v>
      </c>
      <c r="E20" s="111">
        <v>40</v>
      </c>
      <c r="F20" s="12">
        <f t="shared" si="1"/>
        <v>100</v>
      </c>
      <c r="G20" s="111">
        <v>38</v>
      </c>
      <c r="H20" s="14">
        <f t="shared" si="2"/>
        <v>95</v>
      </c>
      <c r="I20" s="41">
        <v>40</v>
      </c>
      <c r="J20" s="15">
        <f t="shared" si="3"/>
        <v>100</v>
      </c>
      <c r="K20" s="12">
        <v>40</v>
      </c>
      <c r="L20" s="12">
        <f t="shared" si="4"/>
        <v>100</v>
      </c>
      <c r="M20" s="12">
        <v>39</v>
      </c>
      <c r="N20" s="12">
        <f t="shared" si="5"/>
        <v>97.5</v>
      </c>
      <c r="O20" s="12">
        <f t="shared" si="6"/>
        <v>587.5</v>
      </c>
      <c r="P20" s="17">
        <f t="shared" si="7"/>
        <v>97.916666666666657</v>
      </c>
      <c r="Q20" s="22"/>
    </row>
    <row r="21" spans="1:17" ht="15.75" customHeight="1">
      <c r="A21" s="86">
        <v>14</v>
      </c>
      <c r="B21" s="108" t="s">
        <v>202</v>
      </c>
      <c r="C21" s="33">
        <v>25</v>
      </c>
      <c r="D21" s="12">
        <f t="shared" si="0"/>
        <v>62.5</v>
      </c>
      <c r="E21" s="111">
        <v>25</v>
      </c>
      <c r="F21" s="12">
        <f t="shared" si="1"/>
        <v>62.5</v>
      </c>
      <c r="G21" s="111">
        <v>22</v>
      </c>
      <c r="H21" s="14">
        <f t="shared" si="2"/>
        <v>55.000000000000007</v>
      </c>
      <c r="I21" s="41">
        <v>27</v>
      </c>
      <c r="J21" s="15">
        <f t="shared" si="3"/>
        <v>67.5</v>
      </c>
      <c r="K21" s="12">
        <v>39</v>
      </c>
      <c r="L21" s="70">
        <f t="shared" si="4"/>
        <v>97.5</v>
      </c>
      <c r="M21" s="12">
        <v>33</v>
      </c>
      <c r="N21" s="12">
        <f t="shared" si="5"/>
        <v>82.5</v>
      </c>
      <c r="O21" s="12">
        <f t="shared" si="6"/>
        <v>427.5</v>
      </c>
      <c r="P21" s="17">
        <f t="shared" si="7"/>
        <v>71.25</v>
      </c>
      <c r="Q21" s="22"/>
    </row>
    <row r="22" spans="1:17" ht="15.75" customHeight="1">
      <c r="A22" s="86">
        <v>15</v>
      </c>
      <c r="B22" s="108" t="s">
        <v>203</v>
      </c>
      <c r="C22" s="33">
        <v>38</v>
      </c>
      <c r="D22" s="12">
        <f t="shared" si="0"/>
        <v>95</v>
      </c>
      <c r="E22" s="111">
        <v>39</v>
      </c>
      <c r="F22" s="12">
        <f t="shared" si="1"/>
        <v>97.5</v>
      </c>
      <c r="G22" s="111">
        <v>35</v>
      </c>
      <c r="H22" s="14">
        <f t="shared" si="2"/>
        <v>87.5</v>
      </c>
      <c r="I22" s="41">
        <v>38</v>
      </c>
      <c r="J22" s="15">
        <f t="shared" si="3"/>
        <v>95</v>
      </c>
      <c r="K22" s="12">
        <v>32</v>
      </c>
      <c r="L22" s="12">
        <f t="shared" si="4"/>
        <v>80</v>
      </c>
      <c r="M22" s="12">
        <v>39</v>
      </c>
      <c r="N22" s="12">
        <f t="shared" si="5"/>
        <v>97.5</v>
      </c>
      <c r="O22" s="12">
        <f t="shared" si="6"/>
        <v>552.5</v>
      </c>
      <c r="P22" s="17">
        <f t="shared" si="7"/>
        <v>92.083333333333329</v>
      </c>
      <c r="Q22" s="22"/>
    </row>
    <row r="23" spans="1:17" ht="15.75" customHeight="1">
      <c r="A23" s="86">
        <v>16</v>
      </c>
      <c r="B23" s="108" t="s">
        <v>204</v>
      </c>
      <c r="C23" s="33">
        <v>17</v>
      </c>
      <c r="D23" s="12">
        <f t="shared" si="0"/>
        <v>42.5</v>
      </c>
      <c r="E23" s="111">
        <v>11</v>
      </c>
      <c r="F23" s="70">
        <f t="shared" si="1"/>
        <v>27.500000000000004</v>
      </c>
      <c r="G23" s="112">
        <v>5</v>
      </c>
      <c r="H23" s="88">
        <f t="shared" si="2"/>
        <v>12.5</v>
      </c>
      <c r="I23" s="41">
        <v>8</v>
      </c>
      <c r="J23" s="15">
        <f t="shared" si="3"/>
        <v>20</v>
      </c>
      <c r="K23" s="12">
        <v>20</v>
      </c>
      <c r="L23" s="12">
        <f t="shared" si="4"/>
        <v>50</v>
      </c>
      <c r="M23" s="12">
        <v>15</v>
      </c>
      <c r="N23" s="70">
        <f t="shared" si="5"/>
        <v>37.5</v>
      </c>
      <c r="O23" s="12">
        <f t="shared" si="6"/>
        <v>190</v>
      </c>
      <c r="P23" s="17">
        <f t="shared" si="7"/>
        <v>31.666666666666664</v>
      </c>
      <c r="Q23" s="22"/>
    </row>
    <row r="24" spans="1:17" ht="15.75" customHeight="1">
      <c r="A24" s="86">
        <v>17</v>
      </c>
      <c r="B24" s="108" t="s">
        <v>205</v>
      </c>
      <c r="C24" s="33">
        <v>33</v>
      </c>
      <c r="D24" s="12">
        <f t="shared" si="0"/>
        <v>82.5</v>
      </c>
      <c r="E24" s="111">
        <v>20</v>
      </c>
      <c r="F24" s="12">
        <f t="shared" si="1"/>
        <v>50</v>
      </c>
      <c r="G24" s="111">
        <v>18</v>
      </c>
      <c r="H24" s="14">
        <f t="shared" si="2"/>
        <v>45</v>
      </c>
      <c r="I24" s="41">
        <v>26</v>
      </c>
      <c r="J24" s="15">
        <f t="shared" si="3"/>
        <v>65</v>
      </c>
      <c r="K24" s="41">
        <v>29</v>
      </c>
      <c r="L24" s="12">
        <f t="shared" si="4"/>
        <v>72.5</v>
      </c>
      <c r="M24" s="12">
        <v>25</v>
      </c>
      <c r="N24" s="12">
        <f t="shared" si="5"/>
        <v>62.5</v>
      </c>
      <c r="O24" s="12">
        <f t="shared" si="6"/>
        <v>377.5</v>
      </c>
      <c r="P24" s="17">
        <f t="shared" si="7"/>
        <v>62.916666666666664</v>
      </c>
      <c r="Q24" s="22"/>
    </row>
    <row r="25" spans="1:17" ht="15.75" customHeight="1">
      <c r="A25" s="86">
        <v>18</v>
      </c>
      <c r="B25" s="108" t="s">
        <v>206</v>
      </c>
      <c r="C25" s="33">
        <v>17</v>
      </c>
      <c r="D25" s="12">
        <f t="shared" si="0"/>
        <v>42.5</v>
      </c>
      <c r="E25" s="111">
        <v>16</v>
      </c>
      <c r="F25" s="12">
        <f t="shared" si="1"/>
        <v>40</v>
      </c>
      <c r="G25" s="111">
        <v>24</v>
      </c>
      <c r="H25" s="14">
        <f t="shared" si="2"/>
        <v>60</v>
      </c>
      <c r="I25" s="41">
        <v>24</v>
      </c>
      <c r="J25" s="15">
        <f t="shared" si="3"/>
        <v>60</v>
      </c>
      <c r="K25" s="41">
        <v>30</v>
      </c>
      <c r="L25" s="12">
        <f t="shared" si="4"/>
        <v>75</v>
      </c>
      <c r="M25" s="12">
        <v>26</v>
      </c>
      <c r="N25" s="12">
        <f t="shared" si="5"/>
        <v>65</v>
      </c>
      <c r="O25" s="12">
        <f t="shared" si="6"/>
        <v>342.5</v>
      </c>
      <c r="P25" s="17">
        <f t="shared" si="7"/>
        <v>57.083333333333329</v>
      </c>
      <c r="Q25" s="22"/>
    </row>
    <row r="26" spans="1:17" ht="15.75" customHeight="1">
      <c r="A26" s="86">
        <v>19</v>
      </c>
      <c r="B26" s="113" t="s">
        <v>207</v>
      </c>
      <c r="C26" s="33">
        <v>19</v>
      </c>
      <c r="D26" s="12">
        <f t="shared" si="0"/>
        <v>47.5</v>
      </c>
      <c r="E26" s="111">
        <v>14</v>
      </c>
      <c r="F26" s="70">
        <f t="shared" si="1"/>
        <v>35</v>
      </c>
      <c r="G26" s="111">
        <v>13</v>
      </c>
      <c r="H26" s="88">
        <f t="shared" si="2"/>
        <v>32.5</v>
      </c>
      <c r="I26" s="41">
        <v>18</v>
      </c>
      <c r="J26" s="15">
        <f t="shared" si="3"/>
        <v>45</v>
      </c>
      <c r="K26" s="12">
        <v>26</v>
      </c>
      <c r="L26" s="12">
        <f t="shared" si="4"/>
        <v>65</v>
      </c>
      <c r="M26" s="12">
        <v>18</v>
      </c>
      <c r="N26" s="70">
        <f t="shared" si="5"/>
        <v>45</v>
      </c>
      <c r="O26" s="12">
        <f t="shared" si="6"/>
        <v>270</v>
      </c>
      <c r="P26" s="17">
        <f t="shared" si="7"/>
        <v>45</v>
      </c>
      <c r="Q26" s="22"/>
    </row>
    <row r="27" spans="1:17" ht="18">
      <c r="A27" s="86">
        <v>20</v>
      </c>
      <c r="B27" s="108" t="s">
        <v>208</v>
      </c>
      <c r="C27" s="33">
        <v>36</v>
      </c>
      <c r="D27" s="12">
        <f t="shared" si="0"/>
        <v>90</v>
      </c>
      <c r="E27" s="111">
        <v>30</v>
      </c>
      <c r="F27" s="12">
        <f t="shared" si="1"/>
        <v>75</v>
      </c>
      <c r="G27" s="111">
        <v>32</v>
      </c>
      <c r="H27" s="14">
        <f t="shared" si="2"/>
        <v>80</v>
      </c>
      <c r="I27" s="41">
        <v>38</v>
      </c>
      <c r="J27" s="15">
        <f t="shared" si="3"/>
        <v>95</v>
      </c>
      <c r="K27" s="12">
        <v>38</v>
      </c>
      <c r="L27" s="12">
        <f t="shared" si="4"/>
        <v>95</v>
      </c>
      <c r="M27" s="12">
        <v>25</v>
      </c>
      <c r="N27" s="12">
        <f t="shared" si="5"/>
        <v>62.5</v>
      </c>
      <c r="O27" s="12">
        <f t="shared" si="6"/>
        <v>497.5</v>
      </c>
      <c r="P27" s="17">
        <f t="shared" si="7"/>
        <v>82.916666666666671</v>
      </c>
      <c r="Q27" s="22"/>
    </row>
    <row r="28" spans="1:17" ht="18">
      <c r="A28" s="86">
        <v>21</v>
      </c>
      <c r="B28" s="108" t="s">
        <v>209</v>
      </c>
      <c r="C28" s="33">
        <v>28</v>
      </c>
      <c r="D28" s="12">
        <f t="shared" si="0"/>
        <v>70</v>
      </c>
      <c r="E28" s="111">
        <v>17</v>
      </c>
      <c r="F28" s="12">
        <f t="shared" si="1"/>
        <v>42.5</v>
      </c>
      <c r="G28" s="111">
        <v>13</v>
      </c>
      <c r="H28" s="88">
        <f t="shared" si="2"/>
        <v>32.5</v>
      </c>
      <c r="I28" s="41">
        <v>16</v>
      </c>
      <c r="J28" s="15">
        <f t="shared" si="3"/>
        <v>40</v>
      </c>
      <c r="K28" s="41">
        <v>25</v>
      </c>
      <c r="L28" s="12">
        <f t="shared" si="4"/>
        <v>62.5</v>
      </c>
      <c r="M28" s="12">
        <v>24</v>
      </c>
      <c r="N28" s="70">
        <f t="shared" si="5"/>
        <v>60</v>
      </c>
      <c r="O28" s="12">
        <f t="shared" si="6"/>
        <v>307.5</v>
      </c>
      <c r="P28" s="17">
        <f t="shared" si="7"/>
        <v>51.249999999999993</v>
      </c>
      <c r="Q28" s="22"/>
    </row>
    <row r="29" spans="1:17" ht="18">
      <c r="A29" s="86">
        <v>22</v>
      </c>
      <c r="B29" s="108" t="s">
        <v>210</v>
      </c>
      <c r="C29" s="33">
        <v>34</v>
      </c>
      <c r="D29" s="12">
        <f t="shared" si="0"/>
        <v>85</v>
      </c>
      <c r="E29" s="111">
        <v>37</v>
      </c>
      <c r="F29" s="12">
        <f t="shared" si="1"/>
        <v>92.5</v>
      </c>
      <c r="G29" s="111">
        <v>34</v>
      </c>
      <c r="H29" s="14">
        <f t="shared" si="2"/>
        <v>85</v>
      </c>
      <c r="I29" s="41">
        <v>35</v>
      </c>
      <c r="J29" s="15">
        <f t="shared" si="3"/>
        <v>87.5</v>
      </c>
      <c r="K29" s="12">
        <v>36</v>
      </c>
      <c r="L29" s="12">
        <f t="shared" si="4"/>
        <v>90</v>
      </c>
      <c r="M29" s="12">
        <v>35</v>
      </c>
      <c r="N29" s="12">
        <f t="shared" si="5"/>
        <v>87.5</v>
      </c>
      <c r="O29" s="12">
        <f t="shared" si="6"/>
        <v>527.5</v>
      </c>
      <c r="P29" s="17">
        <f t="shared" si="7"/>
        <v>87.916666666666671</v>
      </c>
      <c r="Q29" s="22"/>
    </row>
    <row r="30" spans="1:17" ht="18">
      <c r="A30" s="86">
        <v>23</v>
      </c>
      <c r="B30" s="108" t="s">
        <v>211</v>
      </c>
      <c r="C30" s="33">
        <v>38</v>
      </c>
      <c r="D30" s="12">
        <f t="shared" si="0"/>
        <v>95</v>
      </c>
      <c r="E30" s="111">
        <v>40</v>
      </c>
      <c r="F30" s="12">
        <f t="shared" si="1"/>
        <v>100</v>
      </c>
      <c r="G30" s="111">
        <v>39</v>
      </c>
      <c r="H30" s="14">
        <f t="shared" si="2"/>
        <v>97.5</v>
      </c>
      <c r="I30" s="41">
        <v>40</v>
      </c>
      <c r="J30" s="15">
        <f t="shared" si="3"/>
        <v>100</v>
      </c>
      <c r="K30" s="41">
        <v>40</v>
      </c>
      <c r="L30" s="12">
        <f t="shared" si="4"/>
        <v>100</v>
      </c>
      <c r="M30" s="12">
        <v>40</v>
      </c>
      <c r="N30" s="12">
        <f t="shared" si="5"/>
        <v>100</v>
      </c>
      <c r="O30" s="12">
        <f t="shared" si="6"/>
        <v>592.5</v>
      </c>
      <c r="P30" s="17">
        <f t="shared" si="7"/>
        <v>98.75</v>
      </c>
      <c r="Q30" s="22"/>
    </row>
    <row r="31" spans="1:17" ht="18">
      <c r="A31" s="86">
        <v>24</v>
      </c>
      <c r="B31" s="108" t="s">
        <v>212</v>
      </c>
      <c r="C31" s="33">
        <v>36</v>
      </c>
      <c r="D31" s="12">
        <f t="shared" si="0"/>
        <v>90</v>
      </c>
      <c r="E31" s="111">
        <v>26</v>
      </c>
      <c r="F31" s="12">
        <f t="shared" si="1"/>
        <v>65</v>
      </c>
      <c r="G31" s="114">
        <v>24</v>
      </c>
      <c r="H31" s="14">
        <f t="shared" si="2"/>
        <v>60</v>
      </c>
      <c r="I31" s="41">
        <v>34</v>
      </c>
      <c r="J31" s="15">
        <f t="shared" si="3"/>
        <v>85</v>
      </c>
      <c r="K31" s="12">
        <v>33</v>
      </c>
      <c r="L31" s="12">
        <f t="shared" si="4"/>
        <v>82.5</v>
      </c>
      <c r="M31" s="12">
        <v>27</v>
      </c>
      <c r="N31" s="12">
        <f t="shared" si="5"/>
        <v>67.5</v>
      </c>
      <c r="O31" s="12">
        <f t="shared" si="6"/>
        <v>450</v>
      </c>
      <c r="P31" s="17">
        <f t="shared" si="7"/>
        <v>75</v>
      </c>
      <c r="Q31" s="22"/>
    </row>
    <row r="32" spans="1:17" ht="18">
      <c r="A32" s="86">
        <v>25</v>
      </c>
      <c r="B32" s="108" t="s">
        <v>213</v>
      </c>
      <c r="C32" s="33">
        <v>2</v>
      </c>
      <c r="D32" s="12">
        <f t="shared" si="0"/>
        <v>5</v>
      </c>
      <c r="E32" s="111" t="s">
        <v>123</v>
      </c>
      <c r="F32" s="70" t="e">
        <f t="shared" si="1"/>
        <v>#NAME?</v>
      </c>
      <c r="G32" s="111">
        <v>5</v>
      </c>
      <c r="H32" s="14">
        <f t="shared" si="2"/>
        <v>12.5</v>
      </c>
      <c r="I32" s="41">
        <v>6</v>
      </c>
      <c r="J32" s="15">
        <f t="shared" si="3"/>
        <v>15</v>
      </c>
      <c r="K32" s="41">
        <v>16</v>
      </c>
      <c r="L32" s="70">
        <f t="shared" si="4"/>
        <v>40</v>
      </c>
      <c r="M32" s="12">
        <v>5</v>
      </c>
      <c r="N32" s="70">
        <f t="shared" si="5"/>
        <v>12.5</v>
      </c>
      <c r="O32" s="12" t="e">
        <f t="shared" si="6"/>
        <v>#NAME?</v>
      </c>
      <c r="P32" s="17" t="e">
        <f t="shared" si="7"/>
        <v>#NAME?</v>
      </c>
      <c r="Q32" s="22"/>
    </row>
    <row r="33" spans="1:17" ht="18">
      <c r="A33" s="86">
        <v>26</v>
      </c>
      <c r="B33" s="108" t="s">
        <v>214</v>
      </c>
      <c r="C33" s="33">
        <v>21</v>
      </c>
      <c r="D33" s="12">
        <f t="shared" si="0"/>
        <v>52.5</v>
      </c>
      <c r="E33" s="111">
        <v>25</v>
      </c>
      <c r="F33" s="12">
        <f t="shared" si="1"/>
        <v>62.5</v>
      </c>
      <c r="G33" s="112">
        <v>24</v>
      </c>
      <c r="H33" s="14">
        <f t="shared" si="2"/>
        <v>60</v>
      </c>
      <c r="I33" s="41">
        <v>10</v>
      </c>
      <c r="J33" s="15">
        <f t="shared" si="3"/>
        <v>25</v>
      </c>
      <c r="K33" s="12">
        <v>31</v>
      </c>
      <c r="L33" s="12">
        <f t="shared" si="4"/>
        <v>77.5</v>
      </c>
      <c r="M33" s="12">
        <v>36</v>
      </c>
      <c r="N33" s="12">
        <f t="shared" si="5"/>
        <v>90</v>
      </c>
      <c r="O33" s="12">
        <f t="shared" si="6"/>
        <v>367.5</v>
      </c>
      <c r="P33" s="17">
        <f t="shared" si="7"/>
        <v>61.250000000000007</v>
      </c>
      <c r="Q33" s="22"/>
    </row>
    <row r="34" spans="1:17" ht="18">
      <c r="A34" s="86">
        <v>27</v>
      </c>
      <c r="B34" s="108" t="s">
        <v>215</v>
      </c>
      <c r="C34" s="33">
        <v>30</v>
      </c>
      <c r="D34" s="12">
        <f t="shared" si="0"/>
        <v>75</v>
      </c>
      <c r="E34" s="111">
        <v>30</v>
      </c>
      <c r="F34" s="12">
        <f t="shared" si="1"/>
        <v>75</v>
      </c>
      <c r="G34" s="111">
        <v>23</v>
      </c>
      <c r="H34" s="14">
        <f t="shared" si="2"/>
        <v>57.499999999999993</v>
      </c>
      <c r="I34" s="41">
        <v>35</v>
      </c>
      <c r="J34" s="15">
        <f t="shared" si="3"/>
        <v>87.5</v>
      </c>
      <c r="K34" s="41">
        <v>33</v>
      </c>
      <c r="L34" s="12">
        <f t="shared" si="4"/>
        <v>82.5</v>
      </c>
      <c r="M34" s="12">
        <v>32</v>
      </c>
      <c r="N34" s="12">
        <f t="shared" si="5"/>
        <v>80</v>
      </c>
      <c r="O34" s="12">
        <f t="shared" si="6"/>
        <v>457.5</v>
      </c>
      <c r="P34" s="17">
        <f t="shared" si="7"/>
        <v>76.25</v>
      </c>
      <c r="Q34" s="22"/>
    </row>
    <row r="35" spans="1:17" ht="18">
      <c r="A35" s="86">
        <v>28</v>
      </c>
      <c r="B35" s="108" t="s">
        <v>216</v>
      </c>
      <c r="C35" s="33">
        <v>30</v>
      </c>
      <c r="D35" s="12">
        <f t="shared" si="0"/>
        <v>75</v>
      </c>
      <c r="E35" s="111">
        <v>20</v>
      </c>
      <c r="F35" s="12">
        <f t="shared" si="1"/>
        <v>50</v>
      </c>
      <c r="G35" s="111">
        <v>17</v>
      </c>
      <c r="H35" s="14">
        <f t="shared" si="2"/>
        <v>42.5</v>
      </c>
      <c r="I35" s="41">
        <v>19</v>
      </c>
      <c r="J35" s="15">
        <f t="shared" si="3"/>
        <v>47.5</v>
      </c>
      <c r="K35" s="41">
        <v>22</v>
      </c>
      <c r="L35" s="12">
        <f t="shared" si="4"/>
        <v>55.000000000000007</v>
      </c>
      <c r="M35" s="12">
        <v>21</v>
      </c>
      <c r="N35" s="115">
        <f t="shared" si="5"/>
        <v>52.5</v>
      </c>
      <c r="O35" s="12">
        <f t="shared" si="6"/>
        <v>322.5</v>
      </c>
      <c r="P35" s="17">
        <f t="shared" si="7"/>
        <v>53.75</v>
      </c>
      <c r="Q35" s="22"/>
    </row>
    <row r="36" spans="1:17" ht="18">
      <c r="A36" s="86">
        <v>29</v>
      </c>
      <c r="B36" s="108" t="s">
        <v>217</v>
      </c>
      <c r="C36" s="33">
        <v>17</v>
      </c>
      <c r="D36" s="12">
        <f t="shared" si="0"/>
        <v>42.5</v>
      </c>
      <c r="E36" s="111">
        <v>20</v>
      </c>
      <c r="F36" s="12">
        <f t="shared" si="1"/>
        <v>50</v>
      </c>
      <c r="G36" s="111">
        <v>20</v>
      </c>
      <c r="H36" s="14">
        <f t="shared" si="2"/>
        <v>50</v>
      </c>
      <c r="I36" s="41">
        <v>26</v>
      </c>
      <c r="J36" s="15">
        <f t="shared" si="3"/>
        <v>65</v>
      </c>
      <c r="K36" s="41">
        <v>26</v>
      </c>
      <c r="L36" s="12">
        <f t="shared" si="4"/>
        <v>65</v>
      </c>
      <c r="M36" s="12">
        <v>27</v>
      </c>
      <c r="N36" s="70">
        <f t="shared" si="5"/>
        <v>67.5</v>
      </c>
      <c r="O36" s="12">
        <f t="shared" si="6"/>
        <v>340</v>
      </c>
      <c r="P36" s="17">
        <f t="shared" si="7"/>
        <v>56.666666666666664</v>
      </c>
      <c r="Q36" s="22"/>
    </row>
    <row r="37" spans="1:17" ht="18">
      <c r="A37" s="86">
        <v>30</v>
      </c>
      <c r="B37" s="108" t="s">
        <v>218</v>
      </c>
      <c r="C37" s="33">
        <v>23</v>
      </c>
      <c r="D37" s="12">
        <f t="shared" si="0"/>
        <v>57.499999999999993</v>
      </c>
      <c r="E37" s="111">
        <v>20</v>
      </c>
      <c r="F37" s="12">
        <f t="shared" si="1"/>
        <v>50</v>
      </c>
      <c r="G37" s="111">
        <v>13</v>
      </c>
      <c r="H37" s="14">
        <f t="shared" si="2"/>
        <v>32.5</v>
      </c>
      <c r="I37" s="41">
        <v>35</v>
      </c>
      <c r="J37" s="15">
        <f t="shared" si="3"/>
        <v>87.5</v>
      </c>
      <c r="K37" s="41">
        <v>25</v>
      </c>
      <c r="L37" s="12">
        <f t="shared" si="4"/>
        <v>62.5</v>
      </c>
      <c r="M37" s="12">
        <v>28</v>
      </c>
      <c r="N37" s="12">
        <f t="shared" si="5"/>
        <v>70</v>
      </c>
      <c r="O37" s="12">
        <f t="shared" si="6"/>
        <v>360</v>
      </c>
      <c r="P37" s="17">
        <f t="shared" si="7"/>
        <v>60</v>
      </c>
      <c r="Q37" s="22"/>
    </row>
    <row r="38" spans="1:17" ht="18">
      <c r="A38" s="86">
        <v>31</v>
      </c>
      <c r="B38" s="108" t="s">
        <v>219</v>
      </c>
      <c r="C38" s="33">
        <v>28</v>
      </c>
      <c r="D38" s="12">
        <f t="shared" si="0"/>
        <v>70</v>
      </c>
      <c r="E38" s="111">
        <v>14</v>
      </c>
      <c r="F38" s="12">
        <f t="shared" si="1"/>
        <v>35</v>
      </c>
      <c r="G38" s="111">
        <v>22</v>
      </c>
      <c r="H38" s="14">
        <f t="shared" si="2"/>
        <v>55.000000000000007</v>
      </c>
      <c r="I38" s="41">
        <v>28</v>
      </c>
      <c r="J38" s="15">
        <f t="shared" si="3"/>
        <v>70</v>
      </c>
      <c r="K38" s="41">
        <v>28</v>
      </c>
      <c r="L38" s="12">
        <f t="shared" si="4"/>
        <v>70</v>
      </c>
      <c r="M38" s="12">
        <v>17</v>
      </c>
      <c r="N38" s="70">
        <f t="shared" si="5"/>
        <v>42.5</v>
      </c>
      <c r="O38" s="12">
        <f t="shared" si="6"/>
        <v>342.5</v>
      </c>
      <c r="P38" s="17">
        <f t="shared" si="7"/>
        <v>57.083333333333329</v>
      </c>
      <c r="Q38" s="22"/>
    </row>
    <row r="39" spans="1:17" ht="18">
      <c r="A39" s="86">
        <v>32</v>
      </c>
      <c r="B39" s="108" t="s">
        <v>220</v>
      </c>
      <c r="C39" s="33">
        <v>33</v>
      </c>
      <c r="D39" s="12">
        <f t="shared" si="0"/>
        <v>82.5</v>
      </c>
      <c r="E39" s="111">
        <v>33</v>
      </c>
      <c r="F39" s="12">
        <f t="shared" si="1"/>
        <v>82.5</v>
      </c>
      <c r="G39" s="111">
        <v>33</v>
      </c>
      <c r="H39" s="14">
        <f t="shared" si="2"/>
        <v>82.5</v>
      </c>
      <c r="I39" s="41">
        <v>37</v>
      </c>
      <c r="J39" s="15">
        <f t="shared" si="3"/>
        <v>92.5</v>
      </c>
      <c r="K39" s="41">
        <v>40</v>
      </c>
      <c r="L39" s="12">
        <f t="shared" si="4"/>
        <v>100</v>
      </c>
      <c r="M39" s="12">
        <v>38</v>
      </c>
      <c r="N39" s="12">
        <f t="shared" si="5"/>
        <v>95</v>
      </c>
      <c r="O39" s="12">
        <f t="shared" si="6"/>
        <v>535</v>
      </c>
      <c r="P39" s="17">
        <f t="shared" si="7"/>
        <v>89.166666666666671</v>
      </c>
      <c r="Q39" s="22"/>
    </row>
    <row r="40" spans="1:17" ht="18">
      <c r="A40" s="86">
        <v>33</v>
      </c>
      <c r="B40" s="108" t="s">
        <v>221</v>
      </c>
      <c r="C40" s="33">
        <v>28</v>
      </c>
      <c r="D40" s="12">
        <f t="shared" si="0"/>
        <v>70</v>
      </c>
      <c r="E40" s="111">
        <v>33</v>
      </c>
      <c r="F40" s="12">
        <f t="shared" si="1"/>
        <v>82.5</v>
      </c>
      <c r="G40" s="111">
        <v>32</v>
      </c>
      <c r="H40" s="14">
        <f t="shared" si="2"/>
        <v>80</v>
      </c>
      <c r="I40" s="41">
        <v>34</v>
      </c>
      <c r="J40" s="15">
        <f t="shared" si="3"/>
        <v>85</v>
      </c>
      <c r="K40" s="41">
        <v>32</v>
      </c>
      <c r="L40" s="12">
        <f t="shared" si="4"/>
        <v>80</v>
      </c>
      <c r="M40" s="12">
        <v>37</v>
      </c>
      <c r="N40" s="12">
        <f t="shared" si="5"/>
        <v>92.5</v>
      </c>
      <c r="O40" s="12">
        <f t="shared" si="6"/>
        <v>490</v>
      </c>
      <c r="P40" s="17">
        <f t="shared" si="7"/>
        <v>81.666666666666671</v>
      </c>
      <c r="Q40" s="22"/>
    </row>
    <row r="41" spans="1:17" ht="18">
      <c r="A41" s="86">
        <v>34</v>
      </c>
      <c r="B41" s="108" t="s">
        <v>222</v>
      </c>
      <c r="C41" s="33">
        <v>25</v>
      </c>
      <c r="D41" s="12">
        <f t="shared" si="0"/>
        <v>62.5</v>
      </c>
      <c r="E41" s="111">
        <v>18</v>
      </c>
      <c r="F41" s="12">
        <f t="shared" si="1"/>
        <v>45</v>
      </c>
      <c r="G41" s="111">
        <v>23</v>
      </c>
      <c r="H41" s="88">
        <f t="shared" si="2"/>
        <v>57.499999999999993</v>
      </c>
      <c r="I41" s="41">
        <v>15</v>
      </c>
      <c r="J41" s="15">
        <f t="shared" si="3"/>
        <v>37.5</v>
      </c>
      <c r="K41" s="41">
        <v>21</v>
      </c>
      <c r="L41" s="12">
        <f t="shared" si="4"/>
        <v>52.5</v>
      </c>
      <c r="M41" s="12">
        <v>30</v>
      </c>
      <c r="N41" s="70">
        <f t="shared" si="5"/>
        <v>75</v>
      </c>
      <c r="O41" s="12">
        <f t="shared" si="6"/>
        <v>330</v>
      </c>
      <c r="P41" s="17">
        <f t="shared" si="7"/>
        <v>55.000000000000007</v>
      </c>
      <c r="Q41" s="22"/>
    </row>
    <row r="42" spans="1:17" ht="18">
      <c r="A42" s="86">
        <v>35</v>
      </c>
      <c r="B42" s="108" t="s">
        <v>223</v>
      </c>
      <c r="C42" s="33">
        <v>36</v>
      </c>
      <c r="D42" s="12">
        <f t="shared" si="0"/>
        <v>90</v>
      </c>
      <c r="E42" s="111">
        <v>37</v>
      </c>
      <c r="F42" s="12">
        <f t="shared" si="1"/>
        <v>92.5</v>
      </c>
      <c r="G42" s="111">
        <v>32</v>
      </c>
      <c r="H42" s="14">
        <f t="shared" si="2"/>
        <v>80</v>
      </c>
      <c r="I42" s="13">
        <v>38</v>
      </c>
      <c r="J42" s="15">
        <f t="shared" si="3"/>
        <v>95</v>
      </c>
      <c r="K42" s="41">
        <v>31</v>
      </c>
      <c r="L42" s="12">
        <f t="shared" si="4"/>
        <v>77.5</v>
      </c>
      <c r="M42" s="12">
        <v>31</v>
      </c>
      <c r="N42" s="12">
        <f t="shared" si="5"/>
        <v>77.5</v>
      </c>
      <c r="O42" s="12">
        <f t="shared" si="6"/>
        <v>512.5</v>
      </c>
      <c r="P42" s="17">
        <f t="shared" si="7"/>
        <v>85.416666666666657</v>
      </c>
      <c r="Q42" s="22"/>
    </row>
    <row r="43" spans="1:17" ht="18">
      <c r="A43" s="86">
        <v>36</v>
      </c>
      <c r="B43" s="108" t="s">
        <v>224</v>
      </c>
      <c r="C43" s="20">
        <v>24</v>
      </c>
      <c r="D43" s="12">
        <f t="shared" si="0"/>
        <v>60</v>
      </c>
      <c r="E43" s="111">
        <v>13</v>
      </c>
      <c r="F43" s="12">
        <f t="shared" si="1"/>
        <v>32.5</v>
      </c>
      <c r="G43" s="111">
        <v>13</v>
      </c>
      <c r="H43" s="14">
        <f t="shared" si="2"/>
        <v>32.5</v>
      </c>
      <c r="I43" s="41">
        <v>15</v>
      </c>
      <c r="J43" s="15">
        <f t="shared" si="3"/>
        <v>37.5</v>
      </c>
      <c r="K43" s="41">
        <v>21</v>
      </c>
      <c r="L43" s="12">
        <f t="shared" si="4"/>
        <v>52.5</v>
      </c>
      <c r="M43" s="12">
        <v>23</v>
      </c>
      <c r="N43" s="70">
        <f t="shared" si="5"/>
        <v>57.499999999999993</v>
      </c>
      <c r="O43" s="12">
        <f t="shared" si="6"/>
        <v>272.5</v>
      </c>
      <c r="P43" s="17">
        <f t="shared" si="7"/>
        <v>45.416666666666664</v>
      </c>
      <c r="Q43" s="22"/>
    </row>
    <row r="44" spans="1:17" ht="18">
      <c r="A44" s="86">
        <v>37</v>
      </c>
      <c r="B44" s="108" t="s">
        <v>225</v>
      </c>
      <c r="C44" s="33">
        <v>37</v>
      </c>
      <c r="D44" s="12">
        <f t="shared" si="0"/>
        <v>92.5</v>
      </c>
      <c r="E44" s="111">
        <v>30</v>
      </c>
      <c r="F44" s="12">
        <f t="shared" si="1"/>
        <v>75</v>
      </c>
      <c r="G44" s="111">
        <v>31</v>
      </c>
      <c r="H44" s="14">
        <f t="shared" si="2"/>
        <v>77.5</v>
      </c>
      <c r="I44" s="41">
        <v>33</v>
      </c>
      <c r="J44" s="15">
        <f t="shared" si="3"/>
        <v>82.5</v>
      </c>
      <c r="K44" s="41">
        <v>38</v>
      </c>
      <c r="L44" s="12">
        <f t="shared" si="4"/>
        <v>95</v>
      </c>
      <c r="M44" s="12">
        <v>38</v>
      </c>
      <c r="N44" s="12">
        <f t="shared" si="5"/>
        <v>95</v>
      </c>
      <c r="O44" s="12">
        <f t="shared" si="6"/>
        <v>517.5</v>
      </c>
      <c r="P44" s="17">
        <f t="shared" si="7"/>
        <v>86.25</v>
      </c>
      <c r="Q44" s="22"/>
    </row>
    <row r="45" spans="1:17" ht="18">
      <c r="A45" s="86">
        <v>38</v>
      </c>
      <c r="B45" s="108" t="s">
        <v>226</v>
      </c>
      <c r="C45" s="33">
        <v>36</v>
      </c>
      <c r="D45" s="12">
        <f t="shared" si="0"/>
        <v>90</v>
      </c>
      <c r="E45" s="111">
        <v>15</v>
      </c>
      <c r="F45" s="12">
        <f t="shared" si="1"/>
        <v>37.5</v>
      </c>
      <c r="G45" s="111">
        <v>22</v>
      </c>
      <c r="H45" s="14">
        <f t="shared" si="2"/>
        <v>55.000000000000007</v>
      </c>
      <c r="I45" s="41">
        <v>29</v>
      </c>
      <c r="J45" s="15">
        <f t="shared" si="3"/>
        <v>72.5</v>
      </c>
      <c r="K45" s="41">
        <v>34</v>
      </c>
      <c r="L45" s="12">
        <f t="shared" si="4"/>
        <v>85</v>
      </c>
      <c r="M45" s="12">
        <v>22</v>
      </c>
      <c r="N45" s="12">
        <f t="shared" si="5"/>
        <v>55.000000000000007</v>
      </c>
      <c r="O45" s="12">
        <f t="shared" si="6"/>
        <v>395</v>
      </c>
      <c r="P45" s="17">
        <f t="shared" si="7"/>
        <v>65.833333333333329</v>
      </c>
      <c r="Q45" s="22"/>
    </row>
    <row r="46" spans="1:17" ht="18">
      <c r="A46" s="86">
        <v>39</v>
      </c>
      <c r="B46" s="108" t="s">
        <v>227</v>
      </c>
      <c r="C46" s="33">
        <v>26</v>
      </c>
      <c r="D46" s="12">
        <f t="shared" si="0"/>
        <v>65</v>
      </c>
      <c r="E46" s="111">
        <v>16</v>
      </c>
      <c r="F46" s="12">
        <f t="shared" si="1"/>
        <v>40</v>
      </c>
      <c r="G46" s="111">
        <v>25</v>
      </c>
      <c r="H46" s="14">
        <f t="shared" si="2"/>
        <v>62.5</v>
      </c>
      <c r="I46" s="41">
        <v>25</v>
      </c>
      <c r="J46" s="15">
        <f t="shared" si="3"/>
        <v>62.5</v>
      </c>
      <c r="K46" s="41">
        <v>33</v>
      </c>
      <c r="L46" s="12">
        <f t="shared" si="4"/>
        <v>82.5</v>
      </c>
      <c r="M46" s="12">
        <v>26</v>
      </c>
      <c r="N46" s="70">
        <f t="shared" si="5"/>
        <v>65</v>
      </c>
      <c r="O46" s="12">
        <f t="shared" si="6"/>
        <v>377.5</v>
      </c>
      <c r="P46" s="17">
        <f t="shared" si="7"/>
        <v>62.916666666666664</v>
      </c>
      <c r="Q46" s="22"/>
    </row>
    <row r="47" spans="1:17" ht="18">
      <c r="A47" s="86">
        <v>40</v>
      </c>
      <c r="B47" s="108" t="s">
        <v>228</v>
      </c>
      <c r="C47" s="33">
        <v>18</v>
      </c>
      <c r="D47" s="12">
        <f t="shared" si="0"/>
        <v>45</v>
      </c>
      <c r="E47" s="111">
        <v>13</v>
      </c>
      <c r="F47" s="70">
        <f t="shared" si="1"/>
        <v>32.5</v>
      </c>
      <c r="G47" s="111">
        <v>6</v>
      </c>
      <c r="H47" s="88">
        <f t="shared" si="2"/>
        <v>15</v>
      </c>
      <c r="I47" s="41">
        <v>24</v>
      </c>
      <c r="J47" s="15">
        <f t="shared" si="3"/>
        <v>60</v>
      </c>
      <c r="K47" s="41">
        <v>19</v>
      </c>
      <c r="L47" s="12">
        <f t="shared" si="4"/>
        <v>47.5</v>
      </c>
      <c r="M47" s="12">
        <v>12</v>
      </c>
      <c r="N47" s="70">
        <f t="shared" si="5"/>
        <v>30</v>
      </c>
      <c r="O47" s="12">
        <f t="shared" si="6"/>
        <v>230</v>
      </c>
      <c r="P47" s="17">
        <f t="shared" si="7"/>
        <v>38.333333333333336</v>
      </c>
      <c r="Q47" s="22"/>
    </row>
    <row r="48" spans="1:17" ht="18">
      <c r="A48" s="86">
        <v>41</v>
      </c>
      <c r="B48" s="108" t="s">
        <v>229</v>
      </c>
      <c r="C48" s="33">
        <v>34</v>
      </c>
      <c r="D48" s="12">
        <f t="shared" si="0"/>
        <v>85</v>
      </c>
      <c r="E48" s="111">
        <v>37</v>
      </c>
      <c r="F48" s="12">
        <f t="shared" si="1"/>
        <v>92.5</v>
      </c>
      <c r="G48" s="111">
        <v>34</v>
      </c>
      <c r="H48" s="14">
        <f t="shared" si="2"/>
        <v>85</v>
      </c>
      <c r="I48" s="41">
        <v>38</v>
      </c>
      <c r="J48" s="15">
        <f t="shared" si="3"/>
        <v>95</v>
      </c>
      <c r="K48" s="41">
        <v>35</v>
      </c>
      <c r="L48" s="12">
        <f t="shared" si="4"/>
        <v>87.5</v>
      </c>
      <c r="M48" s="12">
        <v>34</v>
      </c>
      <c r="N48" s="12">
        <f t="shared" si="5"/>
        <v>85</v>
      </c>
      <c r="O48" s="12">
        <f t="shared" si="6"/>
        <v>530</v>
      </c>
      <c r="P48" s="17">
        <f t="shared" si="7"/>
        <v>88.333333333333329</v>
      </c>
      <c r="Q48" s="22"/>
    </row>
    <row r="49" spans="1:17" ht="18">
      <c r="A49" s="86">
        <v>42</v>
      </c>
      <c r="B49" s="108" t="s">
        <v>230</v>
      </c>
      <c r="C49" s="33">
        <v>14</v>
      </c>
      <c r="D49" s="70">
        <f t="shared" si="0"/>
        <v>35</v>
      </c>
      <c r="E49" s="111">
        <v>12</v>
      </c>
      <c r="F49" s="70">
        <f t="shared" si="1"/>
        <v>30</v>
      </c>
      <c r="G49" s="111">
        <v>17</v>
      </c>
      <c r="H49" s="14">
        <f t="shared" si="2"/>
        <v>42.5</v>
      </c>
      <c r="I49" s="41">
        <v>25</v>
      </c>
      <c r="J49" s="15">
        <f t="shared" si="3"/>
        <v>62.5</v>
      </c>
      <c r="K49" s="41">
        <v>23</v>
      </c>
      <c r="L49" s="70">
        <f t="shared" si="4"/>
        <v>57.499999999999993</v>
      </c>
      <c r="M49" s="12">
        <v>25</v>
      </c>
      <c r="N49" s="70">
        <f t="shared" si="5"/>
        <v>62.5</v>
      </c>
      <c r="O49" s="12">
        <f t="shared" si="6"/>
        <v>290</v>
      </c>
      <c r="P49" s="17">
        <f t="shared" si="7"/>
        <v>48.333333333333336</v>
      </c>
      <c r="Q49" s="22"/>
    </row>
    <row r="50" spans="1:17" ht="18">
      <c r="A50" s="86">
        <v>43</v>
      </c>
      <c r="B50" s="108" t="s">
        <v>231</v>
      </c>
      <c r="C50" s="33">
        <v>21</v>
      </c>
      <c r="D50" s="12">
        <f t="shared" si="0"/>
        <v>52.5</v>
      </c>
      <c r="E50" s="111">
        <v>10</v>
      </c>
      <c r="F50" s="12">
        <f t="shared" si="1"/>
        <v>25</v>
      </c>
      <c r="G50" s="111">
        <v>6</v>
      </c>
      <c r="H50" s="88">
        <f t="shared" si="2"/>
        <v>15</v>
      </c>
      <c r="I50" s="41">
        <v>13</v>
      </c>
      <c r="J50" s="15">
        <f t="shared" si="3"/>
        <v>32.5</v>
      </c>
      <c r="K50" s="41">
        <v>22</v>
      </c>
      <c r="L50" s="12">
        <f t="shared" si="4"/>
        <v>55.000000000000007</v>
      </c>
      <c r="M50" s="12">
        <v>17</v>
      </c>
      <c r="N50" s="70">
        <f t="shared" si="5"/>
        <v>42.5</v>
      </c>
      <c r="O50" s="12">
        <f t="shared" si="6"/>
        <v>222.5</v>
      </c>
      <c r="P50" s="17">
        <f t="shared" si="7"/>
        <v>37.083333333333336</v>
      </c>
      <c r="Q50" s="22"/>
    </row>
    <row r="51" spans="1:17" ht="18">
      <c r="A51" s="86">
        <v>44</v>
      </c>
      <c r="B51" s="116" t="s">
        <v>232</v>
      </c>
      <c r="C51" s="33">
        <v>28</v>
      </c>
      <c r="D51" s="12">
        <f t="shared" si="0"/>
        <v>70</v>
      </c>
      <c r="E51" s="41">
        <v>31</v>
      </c>
      <c r="F51" s="12">
        <f t="shared" si="1"/>
        <v>77.5</v>
      </c>
      <c r="G51" s="111">
        <v>23</v>
      </c>
      <c r="H51" s="14">
        <f t="shared" si="2"/>
        <v>57.499999999999993</v>
      </c>
      <c r="I51" s="72">
        <v>30</v>
      </c>
      <c r="J51" s="15">
        <f t="shared" si="3"/>
        <v>75</v>
      </c>
      <c r="K51" s="41">
        <v>30</v>
      </c>
      <c r="L51" s="12">
        <f t="shared" si="4"/>
        <v>75</v>
      </c>
      <c r="M51" s="12">
        <v>31</v>
      </c>
      <c r="N51" s="70">
        <f t="shared" si="5"/>
        <v>77.5</v>
      </c>
      <c r="O51" s="12">
        <f t="shared" si="6"/>
        <v>432.5</v>
      </c>
      <c r="P51" s="17">
        <f t="shared" si="7"/>
        <v>72.083333333333329</v>
      </c>
      <c r="Q51" s="22"/>
    </row>
    <row r="52" spans="1:17" ht="18">
      <c r="A52" s="86">
        <v>45</v>
      </c>
      <c r="B52" s="22" t="s">
        <v>233</v>
      </c>
      <c r="C52" s="117">
        <v>23</v>
      </c>
      <c r="D52" s="37">
        <f t="shared" si="0"/>
        <v>57.499999999999993</v>
      </c>
      <c r="E52" s="22">
        <v>22</v>
      </c>
      <c r="F52" s="37">
        <f t="shared" si="1"/>
        <v>55.000000000000007</v>
      </c>
      <c r="G52" s="18">
        <v>17</v>
      </c>
      <c r="H52" s="38">
        <f t="shared" si="2"/>
        <v>42.5</v>
      </c>
      <c r="I52" s="22">
        <v>21</v>
      </c>
      <c r="J52" s="40">
        <f t="shared" si="3"/>
        <v>52.5</v>
      </c>
      <c r="K52" s="22">
        <v>30</v>
      </c>
      <c r="L52" s="37">
        <f t="shared" si="4"/>
        <v>75</v>
      </c>
      <c r="M52" s="37">
        <v>29</v>
      </c>
      <c r="N52" s="37">
        <f t="shared" si="5"/>
        <v>72.5</v>
      </c>
      <c r="O52" s="37"/>
      <c r="P52" s="39"/>
      <c r="Q52" s="22"/>
    </row>
    <row r="53" spans="1:17" ht="18">
      <c r="A53" s="86">
        <v>46</v>
      </c>
      <c r="B53" s="22"/>
      <c r="C53" s="22"/>
      <c r="D53" s="37" t="str">
        <f t="shared" si="0"/>
        <v/>
      </c>
      <c r="E53" s="22"/>
      <c r="F53" s="37" t="str">
        <f t="shared" si="1"/>
        <v/>
      </c>
      <c r="G53" s="22"/>
      <c r="H53" s="38" t="str">
        <f t="shared" si="2"/>
        <v/>
      </c>
      <c r="I53" s="22"/>
      <c r="J53" s="40" t="str">
        <f t="shared" si="3"/>
        <v/>
      </c>
      <c r="K53" s="22"/>
      <c r="L53" s="37" t="str">
        <f t="shared" si="4"/>
        <v/>
      </c>
      <c r="M53" s="37"/>
      <c r="N53" s="37" t="str">
        <f t="shared" si="5"/>
        <v/>
      </c>
      <c r="O53" s="37"/>
      <c r="P53" s="39"/>
      <c r="Q53" s="22"/>
    </row>
    <row r="54" spans="1:17" ht="18">
      <c r="A54" s="86">
        <v>47</v>
      </c>
      <c r="B54" s="22"/>
      <c r="C54" s="22"/>
      <c r="D54" s="37" t="str">
        <f t="shared" si="0"/>
        <v/>
      </c>
      <c r="E54" s="22"/>
      <c r="F54" s="37" t="str">
        <f t="shared" si="1"/>
        <v/>
      </c>
      <c r="G54" s="22"/>
      <c r="H54" s="38" t="str">
        <f t="shared" si="2"/>
        <v/>
      </c>
      <c r="I54" s="22"/>
      <c r="J54" s="40" t="str">
        <f t="shared" si="3"/>
        <v/>
      </c>
      <c r="K54" s="22"/>
      <c r="L54" s="37" t="str">
        <f t="shared" si="4"/>
        <v/>
      </c>
      <c r="M54" s="37"/>
      <c r="N54" s="37" t="str">
        <f t="shared" si="5"/>
        <v/>
      </c>
      <c r="O54" s="37"/>
      <c r="P54" s="39"/>
      <c r="Q54" s="22"/>
    </row>
    <row r="55" spans="1:17" ht="18">
      <c r="A55" s="86">
        <v>48</v>
      </c>
      <c r="B55" s="22"/>
      <c r="C55" s="22"/>
      <c r="D55" s="37" t="str">
        <f t="shared" si="0"/>
        <v/>
      </c>
      <c r="E55" s="22"/>
      <c r="F55" s="37" t="str">
        <f t="shared" si="1"/>
        <v/>
      </c>
      <c r="G55" s="22"/>
      <c r="H55" s="38" t="str">
        <f t="shared" si="2"/>
        <v/>
      </c>
      <c r="I55" s="22"/>
      <c r="J55" s="40" t="str">
        <f t="shared" si="3"/>
        <v/>
      </c>
      <c r="K55" s="22"/>
      <c r="L55" s="37" t="str">
        <f t="shared" si="4"/>
        <v/>
      </c>
      <c r="M55" s="37"/>
      <c r="N55" s="37" t="str">
        <f t="shared" si="5"/>
        <v/>
      </c>
      <c r="O55" s="37"/>
      <c r="P55" s="39"/>
      <c r="Q55" s="22"/>
    </row>
    <row r="56" spans="1:17" ht="18">
      <c r="A56" s="86">
        <v>49</v>
      </c>
      <c r="B56" s="22"/>
      <c r="C56" s="22"/>
      <c r="D56" s="37" t="str">
        <f t="shared" si="0"/>
        <v/>
      </c>
      <c r="E56" s="22"/>
      <c r="F56" s="37" t="str">
        <f t="shared" si="1"/>
        <v/>
      </c>
      <c r="G56" s="22"/>
      <c r="H56" s="38" t="str">
        <f t="shared" si="2"/>
        <v/>
      </c>
      <c r="I56" s="22"/>
      <c r="J56" s="40" t="str">
        <f t="shared" si="3"/>
        <v/>
      </c>
      <c r="K56" s="22"/>
      <c r="L56" s="37" t="str">
        <f t="shared" si="4"/>
        <v/>
      </c>
      <c r="M56" s="37"/>
      <c r="N56" s="37" t="str">
        <f t="shared" si="5"/>
        <v/>
      </c>
      <c r="O56" s="37"/>
      <c r="P56" s="39"/>
      <c r="Q56" s="22"/>
    </row>
    <row r="57" spans="1:17" ht="18">
      <c r="A57" s="86">
        <v>50</v>
      </c>
      <c r="B57" s="22"/>
      <c r="C57" s="37"/>
      <c r="D57" s="37" t="str">
        <f t="shared" si="0"/>
        <v/>
      </c>
      <c r="E57" s="37"/>
      <c r="F57" s="37" t="str">
        <f t="shared" si="1"/>
        <v/>
      </c>
      <c r="G57" s="38"/>
      <c r="H57" s="38" t="str">
        <f t="shared" si="2"/>
        <v/>
      </c>
      <c r="I57" s="22"/>
      <c r="J57" s="40" t="str">
        <f t="shared" si="3"/>
        <v/>
      </c>
      <c r="K57" s="37"/>
      <c r="L57" s="37" t="str">
        <f t="shared" si="4"/>
        <v/>
      </c>
      <c r="M57" s="37"/>
      <c r="N57" s="37" t="str">
        <f t="shared" si="5"/>
        <v/>
      </c>
      <c r="O57" s="37"/>
      <c r="P57" s="39"/>
      <c r="Q57" s="22"/>
    </row>
    <row r="58" spans="1:17" ht="18">
      <c r="A58" s="86">
        <v>51</v>
      </c>
      <c r="B58" s="22"/>
      <c r="C58" s="37"/>
      <c r="D58" s="37" t="str">
        <f t="shared" si="0"/>
        <v/>
      </c>
      <c r="E58" s="37"/>
      <c r="F58" s="37" t="str">
        <f t="shared" si="1"/>
        <v/>
      </c>
      <c r="G58" s="38"/>
      <c r="H58" s="38" t="str">
        <f t="shared" si="2"/>
        <v/>
      </c>
      <c r="I58" s="22"/>
      <c r="J58" s="40" t="str">
        <f t="shared" si="3"/>
        <v/>
      </c>
      <c r="K58" s="37"/>
      <c r="L58" s="37" t="str">
        <f t="shared" si="4"/>
        <v/>
      </c>
      <c r="M58" s="37"/>
      <c r="N58" s="37" t="str">
        <f t="shared" si="5"/>
        <v/>
      </c>
      <c r="O58" s="37"/>
      <c r="P58" s="39"/>
      <c r="Q58" s="22"/>
    </row>
    <row r="59" spans="1:17" ht="18">
      <c r="A59" s="86">
        <v>52</v>
      </c>
      <c r="B59" s="22"/>
      <c r="C59" s="37"/>
      <c r="D59" s="37" t="str">
        <f t="shared" si="0"/>
        <v/>
      </c>
      <c r="E59" s="37"/>
      <c r="F59" s="37" t="str">
        <f t="shared" si="1"/>
        <v/>
      </c>
      <c r="G59" s="38"/>
      <c r="H59" s="38" t="str">
        <f t="shared" si="2"/>
        <v/>
      </c>
      <c r="I59" s="22"/>
      <c r="J59" s="40" t="str">
        <f t="shared" si="3"/>
        <v/>
      </c>
      <c r="K59" s="37"/>
      <c r="L59" s="37" t="str">
        <f t="shared" si="4"/>
        <v/>
      </c>
      <c r="M59" s="37"/>
      <c r="N59" s="37" t="str">
        <f t="shared" si="5"/>
        <v/>
      </c>
      <c r="O59" s="37"/>
      <c r="P59" s="39"/>
      <c r="Q59" s="22"/>
    </row>
    <row r="60" spans="1:17" ht="18">
      <c r="A60" s="86">
        <v>53</v>
      </c>
      <c r="B60" s="22"/>
      <c r="C60" s="37"/>
      <c r="D60" s="37" t="str">
        <f t="shared" si="0"/>
        <v/>
      </c>
      <c r="E60" s="37"/>
      <c r="F60" s="37" t="str">
        <f t="shared" si="1"/>
        <v/>
      </c>
      <c r="G60" s="38"/>
      <c r="H60" s="38" t="str">
        <f t="shared" si="2"/>
        <v/>
      </c>
      <c r="I60" s="22"/>
      <c r="J60" s="40" t="str">
        <f t="shared" si="3"/>
        <v/>
      </c>
      <c r="K60" s="37"/>
      <c r="L60" s="37" t="str">
        <f t="shared" si="4"/>
        <v/>
      </c>
      <c r="M60" s="37"/>
      <c r="N60" s="37" t="str">
        <f t="shared" si="5"/>
        <v/>
      </c>
      <c r="O60" s="37"/>
      <c r="P60" s="39"/>
      <c r="Q60" s="22"/>
    </row>
    <row r="61" spans="1:17" ht="18">
      <c r="A61" s="86">
        <v>54</v>
      </c>
      <c r="B61" s="22"/>
      <c r="C61" s="37"/>
      <c r="D61" s="37" t="str">
        <f t="shared" si="0"/>
        <v/>
      </c>
      <c r="E61" s="37"/>
      <c r="F61" s="37" t="str">
        <f t="shared" si="1"/>
        <v/>
      </c>
      <c r="G61" s="38"/>
      <c r="H61" s="38" t="str">
        <f t="shared" si="2"/>
        <v/>
      </c>
      <c r="I61" s="22"/>
      <c r="J61" s="40" t="str">
        <f t="shared" si="3"/>
        <v/>
      </c>
      <c r="K61" s="37"/>
      <c r="L61" s="37" t="str">
        <f t="shared" si="4"/>
        <v/>
      </c>
      <c r="M61" s="37"/>
      <c r="N61" s="37" t="str">
        <f t="shared" si="5"/>
        <v/>
      </c>
      <c r="O61" s="37"/>
      <c r="P61" s="39"/>
      <c r="Q61" s="22"/>
    </row>
    <row r="62" spans="1:17" ht="18">
      <c r="A62" s="86">
        <v>55</v>
      </c>
      <c r="B62" s="118"/>
      <c r="C62" s="42">
        <f>IF(C65=0,"",SUM(C8:C61)/C65)</f>
        <v>28.488888888888887</v>
      </c>
      <c r="D62" s="12">
        <f t="shared" si="0"/>
        <v>71.222222222222214</v>
      </c>
      <c r="E62" s="42">
        <f>IF(E65=0,"",SUM(E8:E61)/E65)</f>
        <v>24.977272727272727</v>
      </c>
      <c r="F62" s="42">
        <f t="shared" si="1"/>
        <v>62.443181818181813</v>
      </c>
      <c r="G62" s="42">
        <f>IF(G65=0,"",SUM(G8:G61)/G65)</f>
        <v>23</v>
      </c>
      <c r="H62" s="42">
        <f t="shared" si="2"/>
        <v>57.499999999999993</v>
      </c>
      <c r="I62" s="42">
        <f>IF(I65=0,"",SUM(I8:I61)/I65)</f>
        <v>27.40909090909091</v>
      </c>
      <c r="J62" s="42">
        <f t="shared" si="3"/>
        <v>68.52272727272728</v>
      </c>
      <c r="K62" s="42">
        <f>IF(K65=0,"",SUM(K8:K61)/K65)</f>
        <v>30.4</v>
      </c>
      <c r="L62" s="42">
        <f t="shared" si="4"/>
        <v>76</v>
      </c>
      <c r="M62" s="42">
        <f>IF(M65=0,"",SUM(M8:M61)/M65)</f>
        <v>28.022222222222222</v>
      </c>
      <c r="N62" s="42">
        <f t="shared" si="5"/>
        <v>70.055555555555557</v>
      </c>
      <c r="O62" s="42" t="e">
        <f>IF(O65=0,"",SUM(O8:O61)/O65)</f>
        <v>#NAME?</v>
      </c>
      <c r="P62" s="42" t="e">
        <f>IF(O65=0,"",SUM(P8:P61)/O65)</f>
        <v>#NAME?</v>
      </c>
      <c r="Q62" s="39"/>
    </row>
    <row r="63" spans="1:17" ht="34.799999999999997">
      <c r="A63" s="387" t="s">
        <v>71</v>
      </c>
      <c r="B63" s="107" t="s">
        <v>72</v>
      </c>
      <c r="C63" s="359">
        <f>COUNTA(C8:C52)</f>
        <v>45</v>
      </c>
      <c r="D63" s="360"/>
      <c r="E63" s="359">
        <f>COUNTA(E8:E52)</f>
        <v>45</v>
      </c>
      <c r="F63" s="360"/>
      <c r="G63" s="359">
        <f>COUNTA(G8:G52)</f>
        <v>45</v>
      </c>
      <c r="H63" s="360"/>
      <c r="I63" s="359">
        <f>COUNTA(I8:I52)</f>
        <v>45</v>
      </c>
      <c r="J63" s="360"/>
      <c r="K63" s="359">
        <v>45</v>
      </c>
      <c r="L63" s="360"/>
      <c r="M63" s="359">
        <f>COUNTA(M8:M52)</f>
        <v>45</v>
      </c>
      <c r="N63" s="360"/>
      <c r="O63" s="359" t="s">
        <v>15</v>
      </c>
      <c r="P63" s="378"/>
      <c r="Q63" s="360"/>
    </row>
    <row r="64" spans="1:17" ht="17.399999999999999">
      <c r="A64" s="381"/>
      <c r="B64" s="45" t="s">
        <v>73</v>
      </c>
      <c r="C64" s="361">
        <f>C63-C65</f>
        <v>0</v>
      </c>
      <c r="D64" s="362"/>
      <c r="E64" s="361">
        <f>E63-E65</f>
        <v>1</v>
      </c>
      <c r="F64" s="362"/>
      <c r="G64" s="361">
        <f>G63-G65</f>
        <v>0</v>
      </c>
      <c r="H64" s="362"/>
      <c r="I64" s="361">
        <f>I63-I65</f>
        <v>1</v>
      </c>
      <c r="J64" s="362"/>
      <c r="K64" s="361">
        <f>K63-K65</f>
        <v>0</v>
      </c>
      <c r="L64" s="362"/>
      <c r="M64" s="361">
        <f>M63-M65</f>
        <v>0</v>
      </c>
      <c r="N64" s="362"/>
      <c r="O64" s="361">
        <f>COUNTIF(R8:R52,0)</f>
        <v>0</v>
      </c>
      <c r="P64" s="364"/>
      <c r="Q64" s="362"/>
    </row>
    <row r="65" spans="1:17" ht="17.399999999999999">
      <c r="A65" s="381"/>
      <c r="B65" s="46" t="s">
        <v>74</v>
      </c>
      <c r="C65" s="361">
        <f>COUNTIFS(D8:D61,"&gt;0")</f>
        <v>45</v>
      </c>
      <c r="D65" s="362"/>
      <c r="E65" s="361">
        <f>COUNTIFS(F8:F61,"&gt;0")</f>
        <v>44</v>
      </c>
      <c r="F65" s="362"/>
      <c r="G65" s="361">
        <f>COUNTIFS(H8:H61,"&gt;0")</f>
        <v>45</v>
      </c>
      <c r="H65" s="362"/>
      <c r="I65" s="361">
        <f>COUNTIFS(J8:J61,"&gt;0")</f>
        <v>44</v>
      </c>
      <c r="J65" s="362"/>
      <c r="K65" s="361">
        <f>COUNTIFS(L8:L61,"&gt;0")</f>
        <v>45</v>
      </c>
      <c r="L65" s="362"/>
      <c r="M65" s="361">
        <f>COUNTIFS(N8:N61,"&gt;0")</f>
        <v>45</v>
      </c>
      <c r="N65" s="362"/>
      <c r="O65" s="361">
        <f>COUNTIFS(P8:P61,"&gt;0")</f>
        <v>42</v>
      </c>
      <c r="P65" s="364"/>
      <c r="Q65" s="362"/>
    </row>
    <row r="66" spans="1:17" ht="17.399999999999999">
      <c r="A66" s="381"/>
      <c r="B66" s="46" t="s">
        <v>75</v>
      </c>
      <c r="C66" s="361">
        <f>C65-C68</f>
        <v>44</v>
      </c>
      <c r="D66" s="362"/>
      <c r="E66" s="361">
        <f>E65-E68</f>
        <v>41</v>
      </c>
      <c r="F66" s="362"/>
      <c r="G66" s="361">
        <f>G65-G68</f>
        <v>40</v>
      </c>
      <c r="H66" s="362"/>
      <c r="I66" s="361">
        <f>I65-I68</f>
        <v>41</v>
      </c>
      <c r="J66" s="362"/>
      <c r="K66" s="361">
        <f>K65-K68</f>
        <v>45</v>
      </c>
      <c r="L66" s="362"/>
      <c r="M66" s="361">
        <f>M65-M68</f>
        <v>43</v>
      </c>
      <c r="N66" s="362"/>
      <c r="O66" s="361">
        <f>COUNTIF(Q8:Q61,"PASS")</f>
        <v>0</v>
      </c>
      <c r="P66" s="364"/>
      <c r="Q66" s="362"/>
    </row>
    <row r="67" spans="1:17" ht="17.399999999999999">
      <c r="A67" s="381"/>
      <c r="B67" s="46" t="s">
        <v>76</v>
      </c>
      <c r="C67" s="363">
        <f>IF(C65=0,"",(C66/C65)*100)</f>
        <v>97.777777777777771</v>
      </c>
      <c r="D67" s="362"/>
      <c r="E67" s="363">
        <f>IF(E65=0,"",(E66/E65)*100)</f>
        <v>93.181818181818173</v>
      </c>
      <c r="F67" s="362"/>
      <c r="G67" s="363">
        <f>IF(G65=0,"",(G66/G65)*100)</f>
        <v>88.888888888888886</v>
      </c>
      <c r="H67" s="362"/>
      <c r="I67" s="363">
        <f>IF(I65=0,"",(I66/I65)*100)</f>
        <v>93.181818181818173</v>
      </c>
      <c r="J67" s="362"/>
      <c r="K67" s="363">
        <f>IF(K65=0,"",(K66/K65)*100)</f>
        <v>100</v>
      </c>
      <c r="L67" s="362"/>
      <c r="M67" s="363">
        <f>IF(M65=0,"",(M66/M65)*100)</f>
        <v>95.555555555555557</v>
      </c>
      <c r="N67" s="362"/>
      <c r="O67" s="363">
        <f>IF(O65=0,"",(O66/O65)*100)</f>
        <v>0</v>
      </c>
      <c r="P67" s="364"/>
      <c r="Q67" s="362"/>
    </row>
    <row r="68" spans="1:17" ht="17.399999999999999">
      <c r="A68" s="381"/>
      <c r="B68" s="46" t="s">
        <v>77</v>
      </c>
      <c r="C68" s="361">
        <f>COUNTIFS(D8:D61,"&lt;=32",D8:D61,"&gt; 0")</f>
        <v>1</v>
      </c>
      <c r="D68" s="362"/>
      <c r="E68" s="361">
        <f>COUNTIFS(F8:F61,"&lt;=32",F8:F61,"&gt; 0")</f>
        <v>3</v>
      </c>
      <c r="F68" s="362"/>
      <c r="G68" s="361">
        <f>COUNTIFS(H8:H61,"&lt;=32",H8:H61,"&gt; 0")</f>
        <v>5</v>
      </c>
      <c r="H68" s="362"/>
      <c r="I68" s="361">
        <f>COUNTIFS(J8:J61,"&lt;=32",J8:J61,"&gt; 0")</f>
        <v>3</v>
      </c>
      <c r="J68" s="362"/>
      <c r="K68" s="361">
        <f>COUNTIFS(L8:L61,"&lt;=32",L8:L61,"&gt; 0")</f>
        <v>0</v>
      </c>
      <c r="L68" s="362"/>
      <c r="M68" s="361">
        <f>COUNTIFS(N8:N61,"&lt;=32",N8:N61,"&gt; 0")</f>
        <v>2</v>
      </c>
      <c r="N68" s="362"/>
      <c r="O68" s="361">
        <f>COUNTIFS(P8:P61,"&lt;=32",P8:P61,"&gt; 0")</f>
        <v>1</v>
      </c>
      <c r="P68" s="364"/>
      <c r="Q68" s="362"/>
    </row>
    <row r="69" spans="1:17" ht="17.399999999999999">
      <c r="A69" s="381"/>
      <c r="B69" s="46" t="s">
        <v>78</v>
      </c>
      <c r="C69" s="361">
        <f>COUNTIFS(D8:D61,"&gt;=32.1",D8:D61,"&lt;=44")</f>
        <v>4</v>
      </c>
      <c r="D69" s="362"/>
      <c r="E69" s="361">
        <f>COUNTIFS(F8:F61,"&gt;=32.1",F8:F61,"&lt;=44")</f>
        <v>10</v>
      </c>
      <c r="F69" s="362"/>
      <c r="G69" s="361">
        <f>COUNTIFS(H8:H61,"&gt;=32.1",H8:H61,"&lt;=44")</f>
        <v>8</v>
      </c>
      <c r="H69" s="362"/>
      <c r="I69" s="361">
        <f>COUNTIFS(J8:J61,"&gt;=32.1",J8:J61,"&lt;=44")</f>
        <v>6</v>
      </c>
      <c r="J69" s="362"/>
      <c r="K69" s="361">
        <f>COUNTIFS(L8:L61,"&gt;=32.1",L8:L61,"&lt;=44")</f>
        <v>1</v>
      </c>
      <c r="L69" s="362"/>
      <c r="M69" s="361">
        <f>COUNTIFS(N8:N61,"&gt;=32.1",N8:N61,"&lt;=44")</f>
        <v>4</v>
      </c>
      <c r="N69" s="362"/>
      <c r="O69" s="361">
        <f>COUNTIFS(P8:P61,"&gt;=32.1",P8:P61,"&lt;=44")</f>
        <v>3</v>
      </c>
      <c r="P69" s="364"/>
      <c r="Q69" s="362"/>
    </row>
    <row r="70" spans="1:17" ht="17.399999999999999">
      <c r="A70" s="381"/>
      <c r="B70" s="46" t="s">
        <v>79</v>
      </c>
      <c r="C70" s="361">
        <f>COUNTIFS(D8:D61,"&gt;=44.1",D8:D61,"&lt;=59")</f>
        <v>8</v>
      </c>
      <c r="D70" s="362"/>
      <c r="E70" s="361">
        <f>COUNTIFS(F8:F61,"&gt;=44.1",F8:F61,"&lt;=59")</f>
        <v>7</v>
      </c>
      <c r="F70" s="362"/>
      <c r="G70" s="361">
        <f>COUNTIFS(H8:H61,"&gt;=44.1",H8:H61,"&lt;=59")</f>
        <v>12</v>
      </c>
      <c r="H70" s="362"/>
      <c r="I70" s="361">
        <f>COUNTIFS(J8:J61,"&gt;=44.1",J8:J61,"&lt;=59")</f>
        <v>3</v>
      </c>
      <c r="J70" s="362"/>
      <c r="K70" s="361">
        <f>COUNTIFS(L8:L61,"&gt;=44.1",L8:L61,"&lt;=59")</f>
        <v>8</v>
      </c>
      <c r="L70" s="362"/>
      <c r="M70" s="361">
        <f>COUNTIFS(N8:N61,"&gt;=44.1",N8:N61,"&lt;=59")</f>
        <v>5</v>
      </c>
      <c r="N70" s="362"/>
      <c r="O70" s="361">
        <f>COUNTIFS(P8:P61,"&gt;=44.1",P8:P61,"&lt;=59")</f>
        <v>11</v>
      </c>
      <c r="P70" s="364"/>
      <c r="Q70" s="362"/>
    </row>
    <row r="71" spans="1:17" ht="18">
      <c r="A71" s="381"/>
      <c r="B71" s="46" t="s">
        <v>80</v>
      </c>
      <c r="C71" s="365">
        <f>COUNTIFS(D8:D61,"&gt;=59.1",D8:D61,"&lt;=74")</f>
        <v>9</v>
      </c>
      <c r="D71" s="366"/>
      <c r="E71" s="361">
        <f>COUNTIFS(F8:F61,"&gt;=59.1",F8:F61,"&lt;=74")</f>
        <v>5</v>
      </c>
      <c r="F71" s="362"/>
      <c r="G71" s="361">
        <f>COUNTIFS(H8:H61,"&gt;=59.1",H8:H61,"&lt;=74")</f>
        <v>5</v>
      </c>
      <c r="H71" s="362"/>
      <c r="I71" s="361">
        <f>COUNTIFS(J8:J61,"&gt;=59.1",J8:J61,"&lt;=74")</f>
        <v>11</v>
      </c>
      <c r="J71" s="362"/>
      <c r="K71" s="361">
        <f>COUNTIFS(L8:L61,"&gt;=59.1",L8:L61,"&lt;=74")</f>
        <v>9</v>
      </c>
      <c r="L71" s="362"/>
      <c r="M71" s="361">
        <f>COUNTIFS(N8:N61,"&gt;=59.1",N8:N61,"&lt;=74")</f>
        <v>12</v>
      </c>
      <c r="N71" s="362"/>
      <c r="O71" s="361">
        <f>COUNTIFS(P8:P52,"&gt;=59.1",P8:P52,"&lt;=74")</f>
        <v>9</v>
      </c>
      <c r="P71" s="364"/>
      <c r="Q71" s="362"/>
    </row>
    <row r="72" spans="1:17" ht="17.399999999999999">
      <c r="A72" s="381"/>
      <c r="B72" s="46" t="s">
        <v>81</v>
      </c>
      <c r="C72" s="361">
        <f>COUNTIFS(D8:D61,"&gt;=59.1",D8:D61,"&lt;=74")</f>
        <v>9</v>
      </c>
      <c r="D72" s="362"/>
      <c r="E72" s="361">
        <f>COUNTIFS(F8:F61,"&gt;=74.1",F8:F61,"&lt;89")</f>
        <v>11</v>
      </c>
      <c r="F72" s="362"/>
      <c r="G72" s="361">
        <f>COUNTIFS(H8:H61,"&gt;=74.1",H8:H61,"&lt;89")</f>
        <v>13</v>
      </c>
      <c r="H72" s="362"/>
      <c r="I72" s="361">
        <f>COUNTIFS(J8:J61,"&gt;=74.1",J8:J61,"&lt;89")</f>
        <v>10</v>
      </c>
      <c r="J72" s="362"/>
      <c r="K72" s="361">
        <f>COUNTIFS(L8:L61,"&gt;=74.1",L8:L61,"&lt;89")</f>
        <v>15</v>
      </c>
      <c r="L72" s="362"/>
      <c r="M72" s="361">
        <f>COUNTIFS(N8:N61,"&gt;=74.1",N8:N61,"&lt;89")</f>
        <v>12</v>
      </c>
      <c r="N72" s="362"/>
      <c r="O72" s="361">
        <f>COUNTIFS(P8:P61,"&gt;=74.1",P8:P61,"&lt;89")</f>
        <v>10</v>
      </c>
      <c r="P72" s="364"/>
      <c r="Q72" s="362"/>
    </row>
    <row r="73" spans="1:17" ht="17.399999999999999">
      <c r="A73" s="382"/>
      <c r="B73" s="48" t="s">
        <v>82</v>
      </c>
      <c r="C73" s="370">
        <f>COUNTIF(D8:D61,"&gt;=89.1")</f>
        <v>15</v>
      </c>
      <c r="D73" s="371"/>
      <c r="E73" s="370">
        <f>COUNTIF(F8:F61,"&gt;=89.1")</f>
        <v>8</v>
      </c>
      <c r="F73" s="371"/>
      <c r="G73" s="370">
        <f>COUNTIF(H8:H61,"&gt;=89.1")</f>
        <v>2</v>
      </c>
      <c r="H73" s="371"/>
      <c r="I73" s="370">
        <f>COUNTIF(J8:J61,"&gt;=89.1")</f>
        <v>11</v>
      </c>
      <c r="J73" s="371"/>
      <c r="K73" s="370">
        <f>COUNTIF(L8:L61,"&gt;=89.1")</f>
        <v>12</v>
      </c>
      <c r="L73" s="371"/>
      <c r="M73" s="370">
        <f>COUNTIF(N8:N61,"&gt;=89.1")</f>
        <v>10</v>
      </c>
      <c r="N73" s="371"/>
      <c r="O73" s="361">
        <f>COUNTIF(P8:P61,"&gt;=89.1")</f>
        <v>8</v>
      </c>
      <c r="P73" s="364"/>
      <c r="Q73" s="362"/>
    </row>
    <row r="74" spans="1:17" ht="17.399999999999999">
      <c r="A74" s="388" t="s">
        <v>83</v>
      </c>
      <c r="B74" s="364"/>
      <c r="C74" s="372"/>
      <c r="D74" s="362"/>
      <c r="E74" s="372"/>
      <c r="F74" s="362"/>
      <c r="G74" s="372"/>
      <c r="H74" s="362"/>
      <c r="I74" s="372"/>
      <c r="J74" s="362"/>
      <c r="K74" s="372"/>
      <c r="L74" s="362"/>
      <c r="M74" s="372"/>
      <c r="N74" s="362"/>
      <c r="O74" s="367" t="s">
        <v>84</v>
      </c>
      <c r="P74" s="364"/>
      <c r="Q74" s="82">
        <f>IF(O65=0,"",O64/O65*100)</f>
        <v>0</v>
      </c>
    </row>
    <row r="75" spans="1:17" ht="17.399999999999999">
      <c r="A75" s="389" t="s">
        <v>85</v>
      </c>
      <c r="B75" s="369"/>
      <c r="C75" s="390"/>
      <c r="D75" s="369"/>
      <c r="E75" s="369"/>
      <c r="F75" s="369"/>
      <c r="G75" s="369"/>
      <c r="H75" s="369"/>
      <c r="I75" s="369"/>
      <c r="J75" s="369"/>
      <c r="K75" s="369"/>
      <c r="L75" s="369"/>
      <c r="M75" s="368" t="s">
        <v>86</v>
      </c>
      <c r="N75" s="369"/>
      <c r="O75" s="369"/>
      <c r="P75" s="369"/>
      <c r="Q75" s="369"/>
    </row>
    <row r="76" spans="1:17" ht="14.4">
      <c r="A76" s="1"/>
      <c r="B76" s="83" t="s">
        <v>234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</sheetData>
  <mergeCells count="108">
    <mergeCell ref="A74:B74"/>
    <mergeCell ref="C74:D74"/>
    <mergeCell ref="E74:F74"/>
    <mergeCell ref="G74:H74"/>
    <mergeCell ref="I74:J74"/>
    <mergeCell ref="K74:L74"/>
    <mergeCell ref="A75:B75"/>
    <mergeCell ref="C75:L75"/>
    <mergeCell ref="A63:A73"/>
    <mergeCell ref="E63:F63"/>
    <mergeCell ref="G63:H63"/>
    <mergeCell ref="I63:J63"/>
    <mergeCell ref="K64:L64"/>
    <mergeCell ref="K68:L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C72:D72"/>
    <mergeCell ref="E72:F72"/>
    <mergeCell ref="G72:H72"/>
    <mergeCell ref="M66:N66"/>
    <mergeCell ref="O66:Q66"/>
    <mergeCell ref="O67:Q67"/>
    <mergeCell ref="K72:L72"/>
    <mergeCell ref="C73:D73"/>
    <mergeCell ref="E73:F73"/>
    <mergeCell ref="G73:H73"/>
    <mergeCell ref="I73:J73"/>
    <mergeCell ref="K73:L73"/>
    <mergeCell ref="I72:J72"/>
    <mergeCell ref="M63:N63"/>
    <mergeCell ref="O63:Q63"/>
    <mergeCell ref="C64:D64"/>
    <mergeCell ref="E64:F64"/>
    <mergeCell ref="G64:H64"/>
    <mergeCell ref="I64:J64"/>
    <mergeCell ref="M64:N64"/>
    <mergeCell ref="O64:Q64"/>
    <mergeCell ref="E65:F65"/>
    <mergeCell ref="G65:H65"/>
    <mergeCell ref="M65:N65"/>
    <mergeCell ref="O65:Q65"/>
    <mergeCell ref="A1:Q1"/>
    <mergeCell ref="A2:D2"/>
    <mergeCell ref="E2:J2"/>
    <mergeCell ref="K2:Q2"/>
    <mergeCell ref="A3:B3"/>
    <mergeCell ref="C3:D3"/>
    <mergeCell ref="E3:J3"/>
    <mergeCell ref="M5:N5"/>
    <mergeCell ref="O5:P5"/>
    <mergeCell ref="K3:Q3"/>
    <mergeCell ref="A4:Q4"/>
    <mergeCell ref="A5:A7"/>
    <mergeCell ref="B5:B7"/>
    <mergeCell ref="C5:D5"/>
    <mergeCell ref="E5:F5"/>
    <mergeCell ref="G5:H5"/>
    <mergeCell ref="Q5:Q7"/>
    <mergeCell ref="I5:J5"/>
    <mergeCell ref="K5:L5"/>
    <mergeCell ref="M67:N67"/>
    <mergeCell ref="M68:N68"/>
    <mergeCell ref="O68:Q68"/>
    <mergeCell ref="M69:N69"/>
    <mergeCell ref="O69:Q69"/>
    <mergeCell ref="M70:N70"/>
    <mergeCell ref="O70:Q70"/>
    <mergeCell ref="O74:P74"/>
    <mergeCell ref="M75:Q75"/>
    <mergeCell ref="M71:N71"/>
    <mergeCell ref="O71:Q71"/>
    <mergeCell ref="M72:N72"/>
    <mergeCell ref="O72:Q72"/>
    <mergeCell ref="M73:N73"/>
    <mergeCell ref="O73:Q73"/>
    <mergeCell ref="M74:N74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C63:D63"/>
    <mergeCell ref="C65:D65"/>
    <mergeCell ref="I65:J65"/>
    <mergeCell ref="K65:L65"/>
    <mergeCell ref="C66:D66"/>
    <mergeCell ref="E66:F66"/>
    <mergeCell ref="G66:H66"/>
    <mergeCell ref="I66:J66"/>
    <mergeCell ref="K66:L66"/>
    <mergeCell ref="K63:L6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85"/>
  <sheetViews>
    <sheetView workbookViewId="0"/>
  </sheetViews>
  <sheetFormatPr defaultColWidth="12.6640625" defaultRowHeight="15.75" customHeight="1"/>
  <cols>
    <col min="2" max="2" width="26.88671875" customWidth="1"/>
  </cols>
  <sheetData>
    <row r="1" spans="1:26" ht="15.75" customHeight="1">
      <c r="A1" s="392" t="s">
        <v>87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</row>
    <row r="2" spans="1:26" ht="15.75" customHeight="1">
      <c r="A2" s="373" t="s">
        <v>0</v>
      </c>
      <c r="B2" s="366"/>
      <c r="C2" s="366"/>
      <c r="D2" s="366"/>
      <c r="E2" s="374" t="s">
        <v>1</v>
      </c>
      <c r="F2" s="366"/>
      <c r="G2" s="366"/>
      <c r="H2" s="366"/>
      <c r="I2" s="366"/>
      <c r="J2" s="366"/>
      <c r="K2" s="375" t="s">
        <v>2</v>
      </c>
      <c r="L2" s="366"/>
      <c r="M2" s="366"/>
      <c r="N2" s="366"/>
      <c r="O2" s="366"/>
      <c r="P2" s="366"/>
      <c r="Q2" s="366"/>
    </row>
    <row r="3" spans="1:26" ht="15.75" customHeight="1">
      <c r="A3" s="383" t="s">
        <v>141</v>
      </c>
      <c r="B3" s="366"/>
      <c r="C3" s="374" t="s">
        <v>235</v>
      </c>
      <c r="D3" s="366"/>
      <c r="E3" s="374" t="s">
        <v>4</v>
      </c>
      <c r="F3" s="366"/>
      <c r="G3" s="366"/>
      <c r="H3" s="366"/>
      <c r="I3" s="366"/>
      <c r="J3" s="366"/>
      <c r="K3" s="374" t="s">
        <v>5</v>
      </c>
      <c r="L3" s="366"/>
      <c r="M3" s="366"/>
      <c r="N3" s="366"/>
      <c r="O3" s="366"/>
      <c r="P3" s="366"/>
      <c r="Q3" s="366"/>
    </row>
    <row r="4" spans="1:26" ht="15.75" customHeight="1">
      <c r="A4" s="377" t="s">
        <v>236</v>
      </c>
      <c r="B4" s="378"/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8"/>
      <c r="O4" s="378"/>
      <c r="P4" s="378"/>
      <c r="Q4" s="378"/>
    </row>
    <row r="5" spans="1:26">
      <c r="A5" s="384" t="s">
        <v>7</v>
      </c>
      <c r="B5" s="385" t="s">
        <v>8</v>
      </c>
      <c r="C5" s="379" t="s">
        <v>9</v>
      </c>
      <c r="D5" s="360"/>
      <c r="E5" s="379" t="s">
        <v>10</v>
      </c>
      <c r="F5" s="360"/>
      <c r="G5" s="379" t="s">
        <v>11</v>
      </c>
      <c r="H5" s="360"/>
      <c r="I5" s="379" t="s">
        <v>12</v>
      </c>
      <c r="J5" s="360"/>
      <c r="K5" s="379" t="s">
        <v>13</v>
      </c>
      <c r="L5" s="360"/>
      <c r="M5" s="379" t="s">
        <v>14</v>
      </c>
      <c r="N5" s="360"/>
      <c r="O5" s="367" t="s">
        <v>15</v>
      </c>
      <c r="P5" s="362"/>
      <c r="Q5" s="380" t="s">
        <v>16</v>
      </c>
    </row>
    <row r="6" spans="1:26">
      <c r="A6" s="381"/>
      <c r="B6" s="381"/>
      <c r="C6" s="4" t="s">
        <v>17</v>
      </c>
      <c r="D6" s="5">
        <v>40</v>
      </c>
      <c r="E6" s="4" t="s">
        <v>17</v>
      </c>
      <c r="F6" s="5">
        <v>40</v>
      </c>
      <c r="G6" s="4" t="s">
        <v>17</v>
      </c>
      <c r="H6" s="5">
        <v>40</v>
      </c>
      <c r="I6" s="4" t="s">
        <v>17</v>
      </c>
      <c r="J6" s="5">
        <v>40</v>
      </c>
      <c r="K6" s="4" t="s">
        <v>17</v>
      </c>
      <c r="L6" s="5">
        <v>40</v>
      </c>
      <c r="M6" s="4" t="s">
        <v>17</v>
      </c>
      <c r="N6" s="5">
        <v>40</v>
      </c>
      <c r="O6" s="4" t="s">
        <v>17</v>
      </c>
      <c r="P6" s="5">
        <v>600</v>
      </c>
      <c r="Q6" s="381"/>
    </row>
    <row r="7" spans="1:26">
      <c r="A7" s="382"/>
      <c r="B7" s="382"/>
      <c r="C7" s="6" t="s">
        <v>18</v>
      </c>
      <c r="D7" s="6" t="s">
        <v>19</v>
      </c>
      <c r="E7" s="6" t="s">
        <v>18</v>
      </c>
      <c r="F7" s="6" t="s">
        <v>19</v>
      </c>
      <c r="G7" s="6" t="s">
        <v>18</v>
      </c>
      <c r="H7" s="6" t="s">
        <v>19</v>
      </c>
      <c r="I7" s="6" t="s">
        <v>18</v>
      </c>
      <c r="J7" s="6" t="s">
        <v>19</v>
      </c>
      <c r="K7" s="6" t="s">
        <v>18</v>
      </c>
      <c r="L7" s="6" t="s">
        <v>19</v>
      </c>
      <c r="M7" s="6" t="s">
        <v>18</v>
      </c>
      <c r="N7" s="6" t="s">
        <v>19</v>
      </c>
      <c r="O7" s="6" t="s">
        <v>18</v>
      </c>
      <c r="P7" s="6" t="s">
        <v>19</v>
      </c>
      <c r="Q7" s="382"/>
    </row>
    <row r="8" spans="1:26" ht="15.75" customHeight="1">
      <c r="A8" s="119">
        <v>1</v>
      </c>
      <c r="B8" s="22" t="s">
        <v>237</v>
      </c>
      <c r="C8" s="33">
        <v>30</v>
      </c>
      <c r="D8" s="12">
        <f t="shared" ref="D8:D54" si="0">IF(C8="","",IF(C8="AB",AB,IF(C8="TC","TC",(C8/D$6)*100)))</f>
        <v>75</v>
      </c>
      <c r="E8" s="120">
        <v>17</v>
      </c>
      <c r="F8" s="12">
        <f t="shared" ref="F8:F54" si="1">IF(E8="","",IF(E8="AB",AB,IF(E8="TC","TC",(E8/F$6)*100)))</f>
        <v>42.5</v>
      </c>
      <c r="G8" s="121">
        <v>23</v>
      </c>
      <c r="H8" s="14">
        <f t="shared" ref="H8:H54" si="2">IF(G8="","",IF(G8="AB",AB,IF(G8="TC","TC",(G8/H$6)*100)))</f>
        <v>57.499999999999993</v>
      </c>
      <c r="I8" s="122">
        <v>20</v>
      </c>
      <c r="J8" s="15">
        <f t="shared" ref="J8:J47" si="3">IF(I8="","",IF(I8="AB",AB,IF(I8="TC","TC",(I8/J$6)*100)))</f>
        <v>50</v>
      </c>
      <c r="K8" s="12">
        <v>28</v>
      </c>
      <c r="L8" s="12">
        <f t="shared" ref="L8:L54" si="4">IF(K8="","",IF(K8="AB",AB,IF(K8="TC","TC",(K8/L$6)*100)))</f>
        <v>70</v>
      </c>
      <c r="M8" s="123">
        <v>24</v>
      </c>
      <c r="N8" s="12">
        <f t="shared" ref="N8:N52" si="5">IF(M8="","",IF(M8="AB",AB,IF(M8="TC","TC",(M8/N$6)*100)))</f>
        <v>60</v>
      </c>
      <c r="O8" s="12">
        <f t="shared" ref="O8:O47" si="6">SUM(D8,F8,H8,J8,L8,N8)</f>
        <v>355</v>
      </c>
      <c r="P8" s="17">
        <f t="shared" ref="P8:P47" si="7">IF(O8="","",IF(O8="AB","AB",(O8/P$6)*100))</f>
        <v>59.166666666666664</v>
      </c>
      <c r="Q8" s="41" t="str">
        <f>IF(P8=0,"",IF(T8="FAIL","FAIL","PASS"))</f>
        <v>PASS</v>
      </c>
    </row>
    <row r="9" spans="1:26" ht="15.75" customHeight="1">
      <c r="A9" s="119">
        <v>2</v>
      </c>
      <c r="B9" s="18" t="s">
        <v>238</v>
      </c>
      <c r="C9" s="124">
        <v>31</v>
      </c>
      <c r="D9" s="12">
        <f t="shared" si="0"/>
        <v>77.5</v>
      </c>
      <c r="E9" s="60">
        <v>22</v>
      </c>
      <c r="F9" s="12">
        <f t="shared" si="1"/>
        <v>55.000000000000007</v>
      </c>
      <c r="G9" s="66">
        <v>18</v>
      </c>
      <c r="H9" s="14">
        <f t="shared" si="2"/>
        <v>45</v>
      </c>
      <c r="I9" s="72">
        <v>27</v>
      </c>
      <c r="J9" s="15">
        <f t="shared" si="3"/>
        <v>67.5</v>
      </c>
      <c r="K9" s="12">
        <v>32</v>
      </c>
      <c r="L9" s="12">
        <f t="shared" si="4"/>
        <v>80</v>
      </c>
      <c r="M9" s="123">
        <v>35</v>
      </c>
      <c r="N9" s="12">
        <f t="shared" si="5"/>
        <v>87.5</v>
      </c>
      <c r="O9" s="12">
        <f t="shared" si="6"/>
        <v>412.5</v>
      </c>
      <c r="P9" s="17">
        <f t="shared" si="7"/>
        <v>68.75</v>
      </c>
      <c r="Q9" s="125"/>
      <c r="R9" s="126"/>
      <c r="S9" s="126"/>
      <c r="T9" s="126"/>
      <c r="U9" s="126"/>
      <c r="V9" s="126"/>
      <c r="W9" s="126"/>
      <c r="X9" s="126"/>
      <c r="Y9" s="126"/>
      <c r="Z9" s="126"/>
    </row>
    <row r="10" spans="1:26" ht="15.75" customHeight="1">
      <c r="A10" s="119">
        <v>3</v>
      </c>
      <c r="B10" s="18" t="s">
        <v>239</v>
      </c>
      <c r="C10" s="33">
        <v>25</v>
      </c>
      <c r="D10" s="12">
        <f t="shared" si="0"/>
        <v>62.5</v>
      </c>
      <c r="E10" s="60">
        <v>35</v>
      </c>
      <c r="F10" s="12">
        <f t="shared" si="1"/>
        <v>87.5</v>
      </c>
      <c r="G10" s="66">
        <v>23</v>
      </c>
      <c r="H10" s="14">
        <f t="shared" si="2"/>
        <v>57.499999999999993</v>
      </c>
      <c r="I10" s="127">
        <v>24</v>
      </c>
      <c r="J10" s="15">
        <f t="shared" si="3"/>
        <v>60</v>
      </c>
      <c r="K10" s="12">
        <v>22</v>
      </c>
      <c r="L10" s="12">
        <f t="shared" si="4"/>
        <v>55.000000000000007</v>
      </c>
      <c r="M10" s="123">
        <v>32</v>
      </c>
      <c r="N10" s="37">
        <f t="shared" si="5"/>
        <v>80</v>
      </c>
      <c r="O10" s="12">
        <f t="shared" si="6"/>
        <v>402.5</v>
      </c>
      <c r="P10" s="17">
        <f t="shared" si="7"/>
        <v>67.083333333333329</v>
      </c>
      <c r="Q10" s="41" t="str">
        <f t="shared" ref="Q10:Q16" si="8">IF(P10=0,"",IF(T10="FAIL","FAIL","PASS"))</f>
        <v>PASS</v>
      </c>
    </row>
    <row r="11" spans="1:26" ht="15.75" customHeight="1">
      <c r="A11" s="119">
        <v>4</v>
      </c>
      <c r="B11" s="18" t="s">
        <v>240</v>
      </c>
      <c r="C11" s="33">
        <v>30</v>
      </c>
      <c r="D11" s="12">
        <f t="shared" si="0"/>
        <v>75</v>
      </c>
      <c r="E11" s="60">
        <v>19</v>
      </c>
      <c r="F11" s="12">
        <f t="shared" si="1"/>
        <v>47.5</v>
      </c>
      <c r="G11" s="66">
        <v>26</v>
      </c>
      <c r="H11" s="14">
        <f t="shared" si="2"/>
        <v>65</v>
      </c>
      <c r="I11" s="127">
        <v>26</v>
      </c>
      <c r="J11" s="15">
        <f t="shared" si="3"/>
        <v>65</v>
      </c>
      <c r="K11" s="12">
        <v>31</v>
      </c>
      <c r="L11" s="12">
        <f t="shared" si="4"/>
        <v>77.5</v>
      </c>
      <c r="M11" s="123">
        <v>31</v>
      </c>
      <c r="N11" s="12">
        <f t="shared" si="5"/>
        <v>77.5</v>
      </c>
      <c r="O11" s="12">
        <f t="shared" si="6"/>
        <v>407.5</v>
      </c>
      <c r="P11" s="17">
        <f t="shared" si="7"/>
        <v>67.916666666666671</v>
      </c>
      <c r="Q11" s="41" t="str">
        <f t="shared" si="8"/>
        <v>PASS</v>
      </c>
    </row>
    <row r="12" spans="1:26" ht="15.75" customHeight="1">
      <c r="A12" s="119">
        <v>5</v>
      </c>
      <c r="B12" s="18" t="s">
        <v>241</v>
      </c>
      <c r="C12" s="33">
        <v>27</v>
      </c>
      <c r="D12" s="12">
        <f t="shared" si="0"/>
        <v>67.5</v>
      </c>
      <c r="E12" s="60">
        <v>15</v>
      </c>
      <c r="F12" s="12">
        <f t="shared" si="1"/>
        <v>37.5</v>
      </c>
      <c r="G12" s="66">
        <v>25</v>
      </c>
      <c r="H12" s="14">
        <f t="shared" si="2"/>
        <v>62.5</v>
      </c>
      <c r="I12" s="127">
        <v>17</v>
      </c>
      <c r="J12" s="15">
        <f t="shared" si="3"/>
        <v>42.5</v>
      </c>
      <c r="K12" s="12">
        <v>24</v>
      </c>
      <c r="L12" s="12">
        <f t="shared" si="4"/>
        <v>60</v>
      </c>
      <c r="M12" s="123">
        <v>32</v>
      </c>
      <c r="N12" s="12">
        <f t="shared" si="5"/>
        <v>80</v>
      </c>
      <c r="O12" s="12">
        <f t="shared" si="6"/>
        <v>350</v>
      </c>
      <c r="P12" s="17">
        <f t="shared" si="7"/>
        <v>58.333333333333336</v>
      </c>
      <c r="Q12" s="41" t="str">
        <f t="shared" si="8"/>
        <v>PASS</v>
      </c>
    </row>
    <row r="13" spans="1:26" ht="15.75" customHeight="1">
      <c r="A13" s="119">
        <v>6</v>
      </c>
      <c r="B13" s="18" t="s">
        <v>242</v>
      </c>
      <c r="C13" s="33">
        <v>25</v>
      </c>
      <c r="D13" s="12">
        <f t="shared" si="0"/>
        <v>62.5</v>
      </c>
      <c r="E13" s="60">
        <v>18</v>
      </c>
      <c r="F13" s="12">
        <f t="shared" si="1"/>
        <v>45</v>
      </c>
      <c r="G13" s="66">
        <v>16</v>
      </c>
      <c r="H13" s="14">
        <f t="shared" si="2"/>
        <v>40</v>
      </c>
      <c r="I13" s="127">
        <v>14</v>
      </c>
      <c r="J13" s="15">
        <f t="shared" si="3"/>
        <v>35</v>
      </c>
      <c r="K13" s="12">
        <v>29</v>
      </c>
      <c r="L13" s="12">
        <f t="shared" si="4"/>
        <v>72.5</v>
      </c>
      <c r="M13" s="123">
        <v>19</v>
      </c>
      <c r="N13" s="70">
        <f t="shared" si="5"/>
        <v>47.5</v>
      </c>
      <c r="O13" s="12">
        <f t="shared" si="6"/>
        <v>302.5</v>
      </c>
      <c r="P13" s="17">
        <f t="shared" si="7"/>
        <v>50.416666666666664</v>
      </c>
      <c r="Q13" s="41" t="str">
        <f t="shared" si="8"/>
        <v>PASS</v>
      </c>
    </row>
    <row r="14" spans="1:26" ht="15.75" customHeight="1">
      <c r="A14" s="119">
        <v>7</v>
      </c>
      <c r="B14" s="18" t="s">
        <v>243</v>
      </c>
      <c r="C14" s="33">
        <v>36</v>
      </c>
      <c r="D14" s="12">
        <f t="shared" si="0"/>
        <v>90</v>
      </c>
      <c r="E14" s="60">
        <v>39</v>
      </c>
      <c r="F14" s="12">
        <f t="shared" si="1"/>
        <v>97.5</v>
      </c>
      <c r="G14" s="66">
        <v>20</v>
      </c>
      <c r="H14" s="14">
        <f t="shared" si="2"/>
        <v>50</v>
      </c>
      <c r="I14" s="127">
        <v>36</v>
      </c>
      <c r="J14" s="15">
        <f t="shared" si="3"/>
        <v>90</v>
      </c>
      <c r="K14" s="12">
        <v>37</v>
      </c>
      <c r="L14" s="12">
        <f t="shared" si="4"/>
        <v>92.5</v>
      </c>
      <c r="M14" s="123">
        <v>38</v>
      </c>
      <c r="N14" s="12">
        <f t="shared" si="5"/>
        <v>95</v>
      </c>
      <c r="O14" s="12">
        <f t="shared" si="6"/>
        <v>515</v>
      </c>
      <c r="P14" s="17">
        <f t="shared" si="7"/>
        <v>85.833333333333329</v>
      </c>
      <c r="Q14" s="41" t="str">
        <f t="shared" si="8"/>
        <v>PASS</v>
      </c>
    </row>
    <row r="15" spans="1:26" ht="15.75" customHeight="1">
      <c r="A15" s="119">
        <v>8</v>
      </c>
      <c r="B15" s="18" t="s">
        <v>244</v>
      </c>
      <c r="C15" s="33">
        <v>30</v>
      </c>
      <c r="D15" s="12">
        <f t="shared" si="0"/>
        <v>75</v>
      </c>
      <c r="E15" s="60">
        <v>17</v>
      </c>
      <c r="F15" s="12">
        <f t="shared" si="1"/>
        <v>42.5</v>
      </c>
      <c r="G15" s="66">
        <v>22</v>
      </c>
      <c r="H15" s="14">
        <f t="shared" si="2"/>
        <v>55.000000000000007</v>
      </c>
      <c r="I15" s="127">
        <v>22</v>
      </c>
      <c r="J15" s="15">
        <f t="shared" si="3"/>
        <v>55.000000000000007</v>
      </c>
      <c r="K15" s="41">
        <v>25</v>
      </c>
      <c r="L15" s="12">
        <f t="shared" si="4"/>
        <v>62.5</v>
      </c>
      <c r="M15" s="123">
        <v>32</v>
      </c>
      <c r="N15" s="70">
        <f t="shared" si="5"/>
        <v>80</v>
      </c>
      <c r="O15" s="12">
        <f t="shared" si="6"/>
        <v>370</v>
      </c>
      <c r="P15" s="17">
        <f t="shared" si="7"/>
        <v>61.666666666666671</v>
      </c>
      <c r="Q15" s="41" t="str">
        <f t="shared" si="8"/>
        <v>PASS</v>
      </c>
    </row>
    <row r="16" spans="1:26" ht="15.75" customHeight="1">
      <c r="A16" s="119">
        <v>9</v>
      </c>
      <c r="B16" s="18" t="s">
        <v>245</v>
      </c>
      <c r="C16" s="33">
        <v>35</v>
      </c>
      <c r="D16" s="12">
        <f t="shared" si="0"/>
        <v>87.5</v>
      </c>
      <c r="E16" s="60">
        <v>37</v>
      </c>
      <c r="F16" s="12">
        <f t="shared" si="1"/>
        <v>92.5</v>
      </c>
      <c r="G16" s="66">
        <v>37</v>
      </c>
      <c r="H16" s="14">
        <f t="shared" si="2"/>
        <v>92.5</v>
      </c>
      <c r="I16" s="127">
        <v>36</v>
      </c>
      <c r="J16" s="15">
        <f t="shared" si="3"/>
        <v>90</v>
      </c>
      <c r="K16" s="41">
        <v>39</v>
      </c>
      <c r="L16" s="12">
        <f t="shared" si="4"/>
        <v>97.5</v>
      </c>
      <c r="M16" s="123">
        <v>36</v>
      </c>
      <c r="N16" s="12">
        <f t="shared" si="5"/>
        <v>90</v>
      </c>
      <c r="O16" s="12">
        <f t="shared" si="6"/>
        <v>550</v>
      </c>
      <c r="P16" s="17">
        <f t="shared" si="7"/>
        <v>91.666666666666657</v>
      </c>
      <c r="Q16" s="41" t="str">
        <f t="shared" si="8"/>
        <v>PASS</v>
      </c>
    </row>
    <row r="17" spans="1:26" ht="15.75" customHeight="1">
      <c r="A17" s="119">
        <v>10</v>
      </c>
      <c r="B17" s="18" t="s">
        <v>246</v>
      </c>
      <c r="C17" s="33">
        <v>15</v>
      </c>
      <c r="D17" s="12">
        <f t="shared" si="0"/>
        <v>37.5</v>
      </c>
      <c r="E17" s="60">
        <v>7</v>
      </c>
      <c r="F17" s="12">
        <f t="shared" si="1"/>
        <v>17.5</v>
      </c>
      <c r="G17" s="66">
        <v>8</v>
      </c>
      <c r="H17" s="14">
        <f t="shared" si="2"/>
        <v>20</v>
      </c>
      <c r="I17" s="127">
        <v>11</v>
      </c>
      <c r="J17" s="15">
        <f t="shared" si="3"/>
        <v>27.500000000000004</v>
      </c>
      <c r="K17" s="41">
        <v>20</v>
      </c>
      <c r="L17" s="12">
        <f t="shared" si="4"/>
        <v>50</v>
      </c>
      <c r="M17" s="123">
        <v>7</v>
      </c>
      <c r="N17" s="70">
        <f t="shared" si="5"/>
        <v>17.5</v>
      </c>
      <c r="O17" s="12">
        <f t="shared" si="6"/>
        <v>170</v>
      </c>
      <c r="P17" s="17">
        <f t="shared" si="7"/>
        <v>28.333333333333332</v>
      </c>
      <c r="Q17" s="22"/>
    </row>
    <row r="18" spans="1:26" ht="15.75" customHeight="1">
      <c r="A18" s="119">
        <v>11</v>
      </c>
      <c r="B18" s="18" t="s">
        <v>247</v>
      </c>
      <c r="C18" s="33">
        <v>36</v>
      </c>
      <c r="D18" s="12">
        <f t="shared" si="0"/>
        <v>90</v>
      </c>
      <c r="E18" s="60">
        <v>34</v>
      </c>
      <c r="F18" s="12">
        <f t="shared" si="1"/>
        <v>85</v>
      </c>
      <c r="G18" s="66">
        <v>26</v>
      </c>
      <c r="H18" s="14">
        <f t="shared" si="2"/>
        <v>65</v>
      </c>
      <c r="I18" s="127">
        <v>36</v>
      </c>
      <c r="J18" s="15">
        <f t="shared" si="3"/>
        <v>90</v>
      </c>
      <c r="K18" s="12">
        <v>36</v>
      </c>
      <c r="L18" s="12">
        <f t="shared" si="4"/>
        <v>90</v>
      </c>
      <c r="M18" s="123">
        <v>31</v>
      </c>
      <c r="N18" s="12">
        <f t="shared" si="5"/>
        <v>77.5</v>
      </c>
      <c r="O18" s="12">
        <f t="shared" si="6"/>
        <v>497.5</v>
      </c>
      <c r="P18" s="17">
        <f t="shared" si="7"/>
        <v>82.916666666666671</v>
      </c>
      <c r="Q18" s="41" t="str">
        <f>IF(P18=0,"",IF(T18="FAIL","FAIL","PASS"))</f>
        <v>PASS</v>
      </c>
    </row>
    <row r="19" spans="1:26" ht="15.75" customHeight="1">
      <c r="A19" s="119">
        <v>12</v>
      </c>
      <c r="B19" s="18" t="s">
        <v>248</v>
      </c>
      <c r="C19" s="33">
        <v>39</v>
      </c>
      <c r="D19" s="12">
        <f t="shared" si="0"/>
        <v>97.5</v>
      </c>
      <c r="E19" s="60">
        <v>22</v>
      </c>
      <c r="F19" s="12">
        <f t="shared" si="1"/>
        <v>55.000000000000007</v>
      </c>
      <c r="G19" s="66">
        <v>39</v>
      </c>
      <c r="H19" s="14">
        <f t="shared" si="2"/>
        <v>97.5</v>
      </c>
      <c r="I19" s="127">
        <v>40</v>
      </c>
      <c r="J19" s="15">
        <f t="shared" si="3"/>
        <v>100</v>
      </c>
      <c r="K19" s="41">
        <v>35</v>
      </c>
      <c r="L19" s="12">
        <f t="shared" si="4"/>
        <v>87.5</v>
      </c>
      <c r="M19" s="123">
        <v>32</v>
      </c>
      <c r="N19" s="12">
        <f t="shared" si="5"/>
        <v>80</v>
      </c>
      <c r="O19" s="12">
        <f t="shared" si="6"/>
        <v>517.5</v>
      </c>
      <c r="P19" s="17">
        <f t="shared" si="7"/>
        <v>86.25</v>
      </c>
      <c r="Q19" s="22"/>
    </row>
    <row r="20" spans="1:26" ht="15.75" customHeight="1">
      <c r="A20" s="119">
        <v>13</v>
      </c>
      <c r="B20" s="18" t="s">
        <v>249</v>
      </c>
      <c r="C20" s="33">
        <v>22</v>
      </c>
      <c r="D20" s="12">
        <f t="shared" si="0"/>
        <v>55.000000000000007</v>
      </c>
      <c r="E20" s="60">
        <v>17</v>
      </c>
      <c r="F20" s="12">
        <f t="shared" si="1"/>
        <v>42.5</v>
      </c>
      <c r="G20" s="66">
        <v>27</v>
      </c>
      <c r="H20" s="14">
        <f t="shared" si="2"/>
        <v>67.5</v>
      </c>
      <c r="I20" s="127">
        <v>28</v>
      </c>
      <c r="J20" s="15">
        <f t="shared" si="3"/>
        <v>70</v>
      </c>
      <c r="K20" s="12">
        <v>29</v>
      </c>
      <c r="L20" s="12">
        <f t="shared" si="4"/>
        <v>72.5</v>
      </c>
      <c r="M20" s="123">
        <v>30</v>
      </c>
      <c r="N20" s="12">
        <f t="shared" si="5"/>
        <v>75</v>
      </c>
      <c r="O20" s="12">
        <f t="shared" si="6"/>
        <v>382.5</v>
      </c>
      <c r="P20" s="17">
        <f t="shared" si="7"/>
        <v>63.749999999999993</v>
      </c>
      <c r="Q20" s="41" t="str">
        <f t="shared" ref="Q20:Q21" si="9">IF(P20=0,"",IF(T20="FAIL","FAIL","PASS"))</f>
        <v>PASS</v>
      </c>
    </row>
    <row r="21" spans="1:26" ht="15.75" customHeight="1">
      <c r="A21" s="119">
        <v>14</v>
      </c>
      <c r="B21" s="18" t="s">
        <v>250</v>
      </c>
      <c r="C21" s="33">
        <v>36</v>
      </c>
      <c r="D21" s="12">
        <f t="shared" si="0"/>
        <v>90</v>
      </c>
      <c r="E21" s="60">
        <v>37</v>
      </c>
      <c r="F21" s="12">
        <f t="shared" si="1"/>
        <v>92.5</v>
      </c>
      <c r="G21" s="66">
        <v>32</v>
      </c>
      <c r="H21" s="14">
        <f t="shared" si="2"/>
        <v>80</v>
      </c>
      <c r="I21" s="127">
        <v>27</v>
      </c>
      <c r="J21" s="15">
        <f t="shared" si="3"/>
        <v>67.5</v>
      </c>
      <c r="K21" s="12">
        <v>35</v>
      </c>
      <c r="L21" s="12">
        <f t="shared" si="4"/>
        <v>87.5</v>
      </c>
      <c r="M21" s="123">
        <v>32</v>
      </c>
      <c r="N21" s="12">
        <f t="shared" si="5"/>
        <v>80</v>
      </c>
      <c r="O21" s="12">
        <f t="shared" si="6"/>
        <v>497.5</v>
      </c>
      <c r="P21" s="17">
        <f t="shared" si="7"/>
        <v>82.916666666666671</v>
      </c>
      <c r="Q21" s="41" t="str">
        <f t="shared" si="9"/>
        <v>PASS</v>
      </c>
    </row>
    <row r="22" spans="1:26" ht="15.75" customHeight="1">
      <c r="A22" s="119">
        <v>15</v>
      </c>
      <c r="B22" s="18" t="s">
        <v>251</v>
      </c>
      <c r="C22" s="124">
        <v>39</v>
      </c>
      <c r="D22" s="12">
        <f t="shared" si="0"/>
        <v>97.5</v>
      </c>
      <c r="E22" s="60">
        <v>40</v>
      </c>
      <c r="F22" s="12">
        <f t="shared" si="1"/>
        <v>100</v>
      </c>
      <c r="G22" s="66">
        <v>38</v>
      </c>
      <c r="H22" s="14">
        <f t="shared" si="2"/>
        <v>95</v>
      </c>
      <c r="I22" s="72">
        <v>40</v>
      </c>
      <c r="J22" s="15">
        <f t="shared" si="3"/>
        <v>100</v>
      </c>
      <c r="K22" s="12">
        <v>37</v>
      </c>
      <c r="L22" s="12">
        <f t="shared" si="4"/>
        <v>92.5</v>
      </c>
      <c r="M22" s="123">
        <v>40</v>
      </c>
      <c r="N22" s="11">
        <f t="shared" si="5"/>
        <v>100</v>
      </c>
      <c r="O22" s="12">
        <f t="shared" si="6"/>
        <v>585</v>
      </c>
      <c r="P22" s="17">
        <f t="shared" si="7"/>
        <v>97.5</v>
      </c>
      <c r="Q22" s="125"/>
      <c r="R22" s="126"/>
      <c r="S22" s="126"/>
      <c r="T22" s="126"/>
      <c r="U22" s="126"/>
      <c r="V22" s="126"/>
      <c r="W22" s="126"/>
      <c r="X22" s="126"/>
      <c r="Y22" s="126"/>
      <c r="Z22" s="126"/>
    </row>
    <row r="23" spans="1:26" ht="15.75" customHeight="1">
      <c r="A23" s="119">
        <v>16</v>
      </c>
      <c r="B23" s="18" t="s">
        <v>252</v>
      </c>
      <c r="C23" s="33">
        <v>31</v>
      </c>
      <c r="D23" s="12">
        <f t="shared" si="0"/>
        <v>77.5</v>
      </c>
      <c r="E23" s="60">
        <v>24</v>
      </c>
      <c r="F23" s="12">
        <f t="shared" si="1"/>
        <v>60</v>
      </c>
      <c r="G23" s="66">
        <v>23</v>
      </c>
      <c r="H23" s="14">
        <f t="shared" si="2"/>
        <v>57.499999999999993</v>
      </c>
      <c r="I23" s="127">
        <v>26</v>
      </c>
      <c r="J23" s="15">
        <f t="shared" si="3"/>
        <v>65</v>
      </c>
      <c r="K23" s="12">
        <v>32</v>
      </c>
      <c r="L23" s="12">
        <f t="shared" si="4"/>
        <v>80</v>
      </c>
      <c r="M23" s="123">
        <v>32</v>
      </c>
      <c r="N23" s="12">
        <f t="shared" si="5"/>
        <v>80</v>
      </c>
      <c r="O23" s="12">
        <f t="shared" si="6"/>
        <v>420</v>
      </c>
      <c r="P23" s="17">
        <f t="shared" si="7"/>
        <v>70</v>
      </c>
      <c r="Q23" s="41" t="str">
        <f t="shared" ref="Q23:Q25" si="10">IF(P23=0,"",IF(T23="FAIL","FAIL","PASS"))</f>
        <v>PASS</v>
      </c>
    </row>
    <row r="24" spans="1:26" ht="15.75" customHeight="1">
      <c r="A24" s="119">
        <v>17</v>
      </c>
      <c r="B24" s="18" t="s">
        <v>253</v>
      </c>
      <c r="C24" s="33">
        <v>19</v>
      </c>
      <c r="D24" s="12">
        <f t="shared" si="0"/>
        <v>47.5</v>
      </c>
      <c r="E24" s="60">
        <v>14</v>
      </c>
      <c r="F24" s="12">
        <f t="shared" si="1"/>
        <v>35</v>
      </c>
      <c r="G24" s="66">
        <v>16</v>
      </c>
      <c r="H24" s="14">
        <f t="shared" si="2"/>
        <v>40</v>
      </c>
      <c r="I24" s="127">
        <v>20</v>
      </c>
      <c r="J24" s="15">
        <f t="shared" si="3"/>
        <v>50</v>
      </c>
      <c r="K24" s="12">
        <v>18</v>
      </c>
      <c r="L24" s="12">
        <f t="shared" si="4"/>
        <v>45</v>
      </c>
      <c r="M24" s="123">
        <v>15</v>
      </c>
      <c r="N24" s="12">
        <f t="shared" si="5"/>
        <v>37.5</v>
      </c>
      <c r="O24" s="12">
        <f t="shared" si="6"/>
        <v>255</v>
      </c>
      <c r="P24" s="17">
        <f t="shared" si="7"/>
        <v>42.5</v>
      </c>
      <c r="Q24" s="41" t="str">
        <f t="shared" si="10"/>
        <v>PASS</v>
      </c>
    </row>
    <row r="25" spans="1:26" ht="15.75" customHeight="1">
      <c r="A25" s="119">
        <v>18</v>
      </c>
      <c r="B25" s="18" t="s">
        <v>254</v>
      </c>
      <c r="C25" s="33">
        <v>16</v>
      </c>
      <c r="D25" s="12">
        <f t="shared" si="0"/>
        <v>40</v>
      </c>
      <c r="E25" s="60">
        <v>20</v>
      </c>
      <c r="F25" s="12">
        <f t="shared" si="1"/>
        <v>50</v>
      </c>
      <c r="G25" s="66">
        <v>23</v>
      </c>
      <c r="H25" s="14">
        <f t="shared" si="2"/>
        <v>57.499999999999993</v>
      </c>
      <c r="I25" s="127">
        <v>15</v>
      </c>
      <c r="J25" s="15">
        <f t="shared" si="3"/>
        <v>37.5</v>
      </c>
      <c r="K25" s="12">
        <v>25</v>
      </c>
      <c r="L25" s="12">
        <f t="shared" si="4"/>
        <v>62.5</v>
      </c>
      <c r="M25" s="123">
        <v>15</v>
      </c>
      <c r="N25" s="12">
        <f t="shared" si="5"/>
        <v>37.5</v>
      </c>
      <c r="O25" s="12">
        <f t="shared" si="6"/>
        <v>285</v>
      </c>
      <c r="P25" s="17">
        <f t="shared" si="7"/>
        <v>47.5</v>
      </c>
      <c r="Q25" s="41" t="str">
        <f t="shared" si="10"/>
        <v>PASS</v>
      </c>
    </row>
    <row r="26" spans="1:26" ht="15.75" customHeight="1">
      <c r="A26" s="119">
        <v>19</v>
      </c>
      <c r="B26" s="18" t="s">
        <v>255</v>
      </c>
      <c r="C26" s="124">
        <v>26</v>
      </c>
      <c r="D26" s="12">
        <f t="shared" si="0"/>
        <v>65</v>
      </c>
      <c r="E26" s="60">
        <v>37</v>
      </c>
      <c r="F26" s="12">
        <f t="shared" si="1"/>
        <v>92.5</v>
      </c>
      <c r="G26" s="66">
        <v>34</v>
      </c>
      <c r="H26" s="14">
        <f t="shared" si="2"/>
        <v>85</v>
      </c>
      <c r="I26" s="72">
        <v>32</v>
      </c>
      <c r="J26" s="15">
        <f t="shared" si="3"/>
        <v>80</v>
      </c>
      <c r="K26" s="12">
        <v>35</v>
      </c>
      <c r="L26" s="12">
        <f t="shared" si="4"/>
        <v>87.5</v>
      </c>
      <c r="M26" s="123">
        <v>38</v>
      </c>
      <c r="N26" s="12">
        <f t="shared" si="5"/>
        <v>95</v>
      </c>
      <c r="O26" s="12">
        <f t="shared" si="6"/>
        <v>505</v>
      </c>
      <c r="P26" s="17">
        <f t="shared" si="7"/>
        <v>84.166666666666671</v>
      </c>
      <c r="Q26" s="125"/>
      <c r="R26" s="126"/>
      <c r="S26" s="126"/>
      <c r="T26" s="126"/>
      <c r="U26" s="126"/>
      <c r="V26" s="126"/>
      <c r="W26" s="126"/>
      <c r="X26" s="126"/>
      <c r="Y26" s="126"/>
      <c r="Z26" s="126"/>
    </row>
    <row r="27" spans="1:26" ht="18">
      <c r="A27" s="119">
        <v>20</v>
      </c>
      <c r="B27" s="18" t="s">
        <v>256</v>
      </c>
      <c r="C27" s="33">
        <v>37</v>
      </c>
      <c r="D27" s="12">
        <f t="shared" si="0"/>
        <v>92.5</v>
      </c>
      <c r="E27" s="60">
        <v>25</v>
      </c>
      <c r="F27" s="12">
        <f t="shared" si="1"/>
        <v>62.5</v>
      </c>
      <c r="G27" s="66">
        <v>32</v>
      </c>
      <c r="H27" s="14">
        <f t="shared" si="2"/>
        <v>80</v>
      </c>
      <c r="I27" s="127">
        <v>33</v>
      </c>
      <c r="J27" s="15">
        <f t="shared" si="3"/>
        <v>82.5</v>
      </c>
      <c r="K27" s="12">
        <v>31</v>
      </c>
      <c r="L27" s="12">
        <f t="shared" si="4"/>
        <v>77.5</v>
      </c>
      <c r="M27" s="123">
        <v>35</v>
      </c>
      <c r="N27" s="12">
        <f t="shared" si="5"/>
        <v>87.5</v>
      </c>
      <c r="O27" s="12">
        <f t="shared" si="6"/>
        <v>482.5</v>
      </c>
      <c r="P27" s="17">
        <f t="shared" si="7"/>
        <v>80.416666666666671</v>
      </c>
      <c r="Q27" s="41" t="str">
        <f t="shared" ref="Q27:Q47" si="11">IF(P27=0,"",IF(T27="FAIL","FAIL","PASS"))</f>
        <v>PASS</v>
      </c>
    </row>
    <row r="28" spans="1:26" ht="18">
      <c r="A28" s="119">
        <v>21</v>
      </c>
      <c r="B28" s="1" t="s">
        <v>257</v>
      </c>
      <c r="C28" s="33">
        <v>35</v>
      </c>
      <c r="D28" s="12">
        <f t="shared" si="0"/>
        <v>87.5</v>
      </c>
      <c r="E28" s="60">
        <v>31</v>
      </c>
      <c r="F28" s="12">
        <f t="shared" si="1"/>
        <v>77.5</v>
      </c>
      <c r="G28" s="128">
        <v>27</v>
      </c>
      <c r="H28" s="14">
        <f t="shared" si="2"/>
        <v>67.5</v>
      </c>
      <c r="I28" s="127">
        <v>31</v>
      </c>
      <c r="J28" s="15">
        <f t="shared" si="3"/>
        <v>77.5</v>
      </c>
      <c r="K28" s="12">
        <v>35</v>
      </c>
      <c r="L28" s="12">
        <f t="shared" si="4"/>
        <v>87.5</v>
      </c>
      <c r="M28" s="123">
        <v>36</v>
      </c>
      <c r="N28" s="12">
        <f t="shared" si="5"/>
        <v>90</v>
      </c>
      <c r="O28" s="12">
        <f t="shared" si="6"/>
        <v>487.5</v>
      </c>
      <c r="P28" s="17">
        <f t="shared" si="7"/>
        <v>81.25</v>
      </c>
      <c r="Q28" s="41" t="str">
        <f t="shared" si="11"/>
        <v>PASS</v>
      </c>
    </row>
    <row r="29" spans="1:26" ht="18">
      <c r="A29" s="119">
        <v>22</v>
      </c>
      <c r="B29" s="22" t="s">
        <v>258</v>
      </c>
      <c r="C29" s="33">
        <v>35</v>
      </c>
      <c r="D29" s="12">
        <f t="shared" si="0"/>
        <v>87.5</v>
      </c>
      <c r="E29" s="60">
        <v>37</v>
      </c>
      <c r="F29" s="12">
        <f t="shared" si="1"/>
        <v>92.5</v>
      </c>
      <c r="G29" s="66">
        <v>34</v>
      </c>
      <c r="H29" s="14">
        <f t="shared" si="2"/>
        <v>85</v>
      </c>
      <c r="I29" s="127">
        <v>34</v>
      </c>
      <c r="J29" s="15">
        <f t="shared" si="3"/>
        <v>85</v>
      </c>
      <c r="K29" s="41">
        <v>34</v>
      </c>
      <c r="L29" s="12">
        <f t="shared" si="4"/>
        <v>85</v>
      </c>
      <c r="M29" s="123">
        <v>36</v>
      </c>
      <c r="N29" s="12">
        <f t="shared" si="5"/>
        <v>90</v>
      </c>
      <c r="O29" s="12">
        <f t="shared" si="6"/>
        <v>525</v>
      </c>
      <c r="P29" s="17">
        <f t="shared" si="7"/>
        <v>87.5</v>
      </c>
      <c r="Q29" s="41" t="str">
        <f t="shared" si="11"/>
        <v>PASS</v>
      </c>
    </row>
    <row r="30" spans="1:26" ht="18">
      <c r="A30" s="119">
        <v>23</v>
      </c>
      <c r="B30" s="18" t="s">
        <v>259</v>
      </c>
      <c r="C30" s="33">
        <v>32</v>
      </c>
      <c r="D30" s="12">
        <f t="shared" si="0"/>
        <v>80</v>
      </c>
      <c r="E30" s="60">
        <v>28</v>
      </c>
      <c r="F30" s="12">
        <f t="shared" si="1"/>
        <v>70</v>
      </c>
      <c r="G30" s="66">
        <v>18</v>
      </c>
      <c r="H30" s="14">
        <f t="shared" si="2"/>
        <v>45</v>
      </c>
      <c r="I30" s="127">
        <v>28</v>
      </c>
      <c r="J30" s="15">
        <f t="shared" si="3"/>
        <v>70</v>
      </c>
      <c r="K30" s="41">
        <v>30</v>
      </c>
      <c r="L30" s="12">
        <f t="shared" si="4"/>
        <v>75</v>
      </c>
      <c r="M30" s="123">
        <v>23</v>
      </c>
      <c r="N30" s="12">
        <f t="shared" si="5"/>
        <v>57.499999999999993</v>
      </c>
      <c r="O30" s="12">
        <f t="shared" si="6"/>
        <v>397.5</v>
      </c>
      <c r="P30" s="17">
        <f t="shared" si="7"/>
        <v>66.25</v>
      </c>
      <c r="Q30" s="41" t="str">
        <f t="shared" si="11"/>
        <v>PASS</v>
      </c>
    </row>
    <row r="31" spans="1:26" ht="18">
      <c r="A31" s="119">
        <v>24</v>
      </c>
      <c r="B31" s="18" t="s">
        <v>260</v>
      </c>
      <c r="C31" s="33">
        <v>33</v>
      </c>
      <c r="D31" s="12">
        <f t="shared" si="0"/>
        <v>82.5</v>
      </c>
      <c r="E31" s="60">
        <v>28</v>
      </c>
      <c r="F31" s="12">
        <f t="shared" si="1"/>
        <v>70</v>
      </c>
      <c r="G31" s="66">
        <v>20</v>
      </c>
      <c r="H31" s="14">
        <f t="shared" si="2"/>
        <v>50</v>
      </c>
      <c r="I31" s="127">
        <v>22</v>
      </c>
      <c r="J31" s="15">
        <f t="shared" si="3"/>
        <v>55.000000000000007</v>
      </c>
      <c r="K31" s="12">
        <v>35</v>
      </c>
      <c r="L31" s="12">
        <f t="shared" si="4"/>
        <v>87.5</v>
      </c>
      <c r="M31" s="123">
        <v>25</v>
      </c>
      <c r="N31" s="12">
        <f t="shared" si="5"/>
        <v>62.5</v>
      </c>
      <c r="O31" s="12">
        <f t="shared" si="6"/>
        <v>407.5</v>
      </c>
      <c r="P31" s="17">
        <f t="shared" si="7"/>
        <v>67.916666666666671</v>
      </c>
      <c r="Q31" s="41" t="str">
        <f t="shared" si="11"/>
        <v>PASS</v>
      </c>
    </row>
    <row r="32" spans="1:26" ht="18">
      <c r="A32" s="119">
        <v>25</v>
      </c>
      <c r="B32" s="18" t="s">
        <v>261</v>
      </c>
      <c r="C32" s="33">
        <v>32</v>
      </c>
      <c r="D32" s="12">
        <f t="shared" si="0"/>
        <v>80</v>
      </c>
      <c r="E32" s="60">
        <v>30</v>
      </c>
      <c r="F32" s="12">
        <f t="shared" si="1"/>
        <v>75</v>
      </c>
      <c r="G32" s="66">
        <v>29</v>
      </c>
      <c r="H32" s="14">
        <f t="shared" si="2"/>
        <v>72.5</v>
      </c>
      <c r="I32" s="127">
        <v>20</v>
      </c>
      <c r="J32" s="15">
        <f t="shared" si="3"/>
        <v>50</v>
      </c>
      <c r="K32" s="12">
        <v>30</v>
      </c>
      <c r="L32" s="12">
        <f t="shared" si="4"/>
        <v>75</v>
      </c>
      <c r="M32" s="123">
        <v>28</v>
      </c>
      <c r="N32" s="12">
        <f t="shared" si="5"/>
        <v>70</v>
      </c>
      <c r="O32" s="12">
        <f t="shared" si="6"/>
        <v>422.5</v>
      </c>
      <c r="P32" s="17">
        <f t="shared" si="7"/>
        <v>70.416666666666671</v>
      </c>
      <c r="Q32" s="41" t="str">
        <f t="shared" si="11"/>
        <v>PASS</v>
      </c>
    </row>
    <row r="33" spans="1:26" ht="18">
      <c r="A33" s="119">
        <v>26</v>
      </c>
      <c r="B33" s="18" t="s">
        <v>262</v>
      </c>
      <c r="C33" s="33">
        <v>36</v>
      </c>
      <c r="D33" s="12">
        <f t="shared" si="0"/>
        <v>90</v>
      </c>
      <c r="E33" s="60">
        <v>35</v>
      </c>
      <c r="F33" s="12">
        <f t="shared" si="1"/>
        <v>87.5</v>
      </c>
      <c r="G33" s="66">
        <v>27</v>
      </c>
      <c r="H33" s="14">
        <f t="shared" si="2"/>
        <v>67.5</v>
      </c>
      <c r="I33" s="72">
        <v>34</v>
      </c>
      <c r="J33" s="15">
        <f t="shared" si="3"/>
        <v>85</v>
      </c>
      <c r="K33" s="12">
        <v>35</v>
      </c>
      <c r="L33" s="12">
        <f t="shared" si="4"/>
        <v>87.5</v>
      </c>
      <c r="M33" s="123">
        <v>31</v>
      </c>
      <c r="N33" s="12">
        <f t="shared" si="5"/>
        <v>77.5</v>
      </c>
      <c r="O33" s="12">
        <f t="shared" si="6"/>
        <v>495</v>
      </c>
      <c r="P33" s="17">
        <f t="shared" si="7"/>
        <v>82.5</v>
      </c>
      <c r="Q33" s="41" t="str">
        <f t="shared" si="11"/>
        <v>PASS</v>
      </c>
    </row>
    <row r="34" spans="1:26" ht="18">
      <c r="A34" s="119">
        <v>27</v>
      </c>
      <c r="B34" s="18" t="s">
        <v>263</v>
      </c>
      <c r="C34" s="33">
        <v>24</v>
      </c>
      <c r="D34" s="12">
        <f t="shared" si="0"/>
        <v>60</v>
      </c>
      <c r="E34" s="60">
        <v>15</v>
      </c>
      <c r="F34" s="12">
        <f t="shared" si="1"/>
        <v>37.5</v>
      </c>
      <c r="G34" s="66">
        <v>20</v>
      </c>
      <c r="H34" s="14">
        <f t="shared" si="2"/>
        <v>50</v>
      </c>
      <c r="I34" s="72">
        <v>22</v>
      </c>
      <c r="J34" s="15">
        <f t="shared" si="3"/>
        <v>55.000000000000007</v>
      </c>
      <c r="K34" s="41">
        <v>25</v>
      </c>
      <c r="L34" s="12">
        <f t="shared" si="4"/>
        <v>62.5</v>
      </c>
      <c r="M34" s="123">
        <v>27</v>
      </c>
      <c r="N34" s="70">
        <f t="shared" si="5"/>
        <v>67.5</v>
      </c>
      <c r="O34" s="12">
        <f t="shared" si="6"/>
        <v>332.5</v>
      </c>
      <c r="P34" s="17">
        <f t="shared" si="7"/>
        <v>55.416666666666671</v>
      </c>
      <c r="Q34" s="41" t="str">
        <f t="shared" si="11"/>
        <v>PASS</v>
      </c>
    </row>
    <row r="35" spans="1:26" ht="18">
      <c r="A35" s="119">
        <v>28</v>
      </c>
      <c r="B35" s="18" t="s">
        <v>264</v>
      </c>
      <c r="C35" s="33">
        <v>24</v>
      </c>
      <c r="D35" s="12">
        <f t="shared" si="0"/>
        <v>60</v>
      </c>
      <c r="E35" s="60">
        <v>17</v>
      </c>
      <c r="F35" s="12">
        <f t="shared" si="1"/>
        <v>42.5</v>
      </c>
      <c r="G35" s="129">
        <v>26</v>
      </c>
      <c r="H35" s="14">
        <f t="shared" si="2"/>
        <v>65</v>
      </c>
      <c r="I35" s="72">
        <v>27</v>
      </c>
      <c r="J35" s="15">
        <f t="shared" si="3"/>
        <v>67.5</v>
      </c>
      <c r="K35" s="12">
        <v>32</v>
      </c>
      <c r="L35" s="12">
        <f t="shared" si="4"/>
        <v>80</v>
      </c>
      <c r="M35" s="123">
        <v>19</v>
      </c>
      <c r="N35" s="70">
        <f t="shared" si="5"/>
        <v>47.5</v>
      </c>
      <c r="O35" s="12">
        <f t="shared" si="6"/>
        <v>362.5</v>
      </c>
      <c r="P35" s="17">
        <f t="shared" si="7"/>
        <v>60.416666666666664</v>
      </c>
      <c r="Q35" s="41" t="str">
        <f t="shared" si="11"/>
        <v>PASS</v>
      </c>
    </row>
    <row r="36" spans="1:26" ht="18">
      <c r="A36" s="119">
        <v>29</v>
      </c>
      <c r="B36" s="18" t="s">
        <v>265</v>
      </c>
      <c r="C36" s="33">
        <v>17</v>
      </c>
      <c r="D36" s="12">
        <f t="shared" si="0"/>
        <v>42.5</v>
      </c>
      <c r="E36" s="60">
        <v>13</v>
      </c>
      <c r="F36" s="12">
        <f t="shared" si="1"/>
        <v>32.5</v>
      </c>
      <c r="G36" s="66">
        <v>21</v>
      </c>
      <c r="H36" s="14">
        <f t="shared" si="2"/>
        <v>52.5</v>
      </c>
      <c r="I36" s="72">
        <v>11</v>
      </c>
      <c r="J36" s="15">
        <f t="shared" si="3"/>
        <v>27.500000000000004</v>
      </c>
      <c r="K36" s="41">
        <v>13</v>
      </c>
      <c r="L36" s="12">
        <f t="shared" si="4"/>
        <v>32.5</v>
      </c>
      <c r="M36" s="123">
        <v>10</v>
      </c>
      <c r="N36" s="70">
        <f t="shared" si="5"/>
        <v>25</v>
      </c>
      <c r="O36" s="12">
        <f t="shared" si="6"/>
        <v>212.5</v>
      </c>
      <c r="P36" s="17">
        <f t="shared" si="7"/>
        <v>35.416666666666671</v>
      </c>
      <c r="Q36" s="41" t="str">
        <f t="shared" si="11"/>
        <v>PASS</v>
      </c>
    </row>
    <row r="37" spans="1:26" ht="18">
      <c r="A37" s="119">
        <v>30</v>
      </c>
      <c r="B37" s="18" t="s">
        <v>266</v>
      </c>
      <c r="C37" s="33">
        <v>39</v>
      </c>
      <c r="D37" s="12">
        <f t="shared" si="0"/>
        <v>97.5</v>
      </c>
      <c r="E37" s="60">
        <v>38</v>
      </c>
      <c r="F37" s="12">
        <f t="shared" si="1"/>
        <v>95</v>
      </c>
      <c r="G37" s="66">
        <v>35</v>
      </c>
      <c r="H37" s="14">
        <f t="shared" si="2"/>
        <v>87.5</v>
      </c>
      <c r="I37" s="72">
        <v>40</v>
      </c>
      <c r="J37" s="15">
        <f t="shared" si="3"/>
        <v>100</v>
      </c>
      <c r="K37" s="12">
        <v>34</v>
      </c>
      <c r="L37" s="12">
        <f t="shared" si="4"/>
        <v>85</v>
      </c>
      <c r="M37" s="123">
        <v>36</v>
      </c>
      <c r="N37" s="12">
        <f t="shared" si="5"/>
        <v>90</v>
      </c>
      <c r="O37" s="12">
        <f t="shared" si="6"/>
        <v>555</v>
      </c>
      <c r="P37" s="17">
        <f t="shared" si="7"/>
        <v>92.5</v>
      </c>
      <c r="Q37" s="41" t="str">
        <f t="shared" si="11"/>
        <v>PASS</v>
      </c>
    </row>
    <row r="38" spans="1:26" ht="18">
      <c r="A38" s="119">
        <v>31</v>
      </c>
      <c r="B38" s="22" t="s">
        <v>267</v>
      </c>
      <c r="C38" s="33">
        <v>26</v>
      </c>
      <c r="D38" s="12">
        <f t="shared" si="0"/>
        <v>65</v>
      </c>
      <c r="E38" s="60">
        <v>20</v>
      </c>
      <c r="F38" s="12">
        <f t="shared" si="1"/>
        <v>50</v>
      </c>
      <c r="G38" s="66">
        <v>16</v>
      </c>
      <c r="H38" s="14">
        <f t="shared" si="2"/>
        <v>40</v>
      </c>
      <c r="I38" s="72">
        <v>24</v>
      </c>
      <c r="J38" s="15">
        <f t="shared" si="3"/>
        <v>60</v>
      </c>
      <c r="K38" s="41">
        <v>26</v>
      </c>
      <c r="L38" s="12">
        <f t="shared" si="4"/>
        <v>65</v>
      </c>
      <c r="M38" s="123">
        <v>21</v>
      </c>
      <c r="N38" s="12">
        <f t="shared" si="5"/>
        <v>52.5</v>
      </c>
      <c r="O38" s="12">
        <f t="shared" si="6"/>
        <v>332.5</v>
      </c>
      <c r="P38" s="17">
        <f t="shared" si="7"/>
        <v>55.416666666666671</v>
      </c>
      <c r="Q38" s="41" t="str">
        <f t="shared" si="11"/>
        <v>PASS</v>
      </c>
    </row>
    <row r="39" spans="1:26" ht="18">
      <c r="A39" s="119">
        <v>32</v>
      </c>
      <c r="B39" s="18" t="s">
        <v>268</v>
      </c>
      <c r="C39" s="33">
        <v>32</v>
      </c>
      <c r="D39" s="12">
        <f t="shared" si="0"/>
        <v>80</v>
      </c>
      <c r="E39" s="60">
        <v>31</v>
      </c>
      <c r="F39" s="12">
        <f t="shared" si="1"/>
        <v>77.5</v>
      </c>
      <c r="G39" s="66">
        <v>17</v>
      </c>
      <c r="H39" s="14">
        <f t="shared" si="2"/>
        <v>42.5</v>
      </c>
      <c r="I39" s="72">
        <v>26</v>
      </c>
      <c r="J39" s="15">
        <f t="shared" si="3"/>
        <v>65</v>
      </c>
      <c r="K39" s="41">
        <v>33</v>
      </c>
      <c r="L39" s="12">
        <f t="shared" si="4"/>
        <v>82.5</v>
      </c>
      <c r="M39" s="123">
        <v>31</v>
      </c>
      <c r="N39" s="12">
        <f t="shared" si="5"/>
        <v>77.5</v>
      </c>
      <c r="O39" s="12">
        <f t="shared" si="6"/>
        <v>425</v>
      </c>
      <c r="P39" s="17">
        <f t="shared" si="7"/>
        <v>70.833333333333343</v>
      </c>
      <c r="Q39" s="41" t="str">
        <f t="shared" si="11"/>
        <v>PASS</v>
      </c>
    </row>
    <row r="40" spans="1:26" ht="18">
      <c r="A40" s="119">
        <v>33</v>
      </c>
      <c r="B40" s="18" t="s">
        <v>269</v>
      </c>
      <c r="C40" s="33">
        <v>14</v>
      </c>
      <c r="D40" s="12">
        <f t="shared" si="0"/>
        <v>35</v>
      </c>
      <c r="E40" s="60">
        <v>11</v>
      </c>
      <c r="F40" s="12">
        <f t="shared" si="1"/>
        <v>27.500000000000004</v>
      </c>
      <c r="G40" s="66">
        <v>20</v>
      </c>
      <c r="H40" s="14">
        <f t="shared" si="2"/>
        <v>50</v>
      </c>
      <c r="I40" s="72">
        <v>13</v>
      </c>
      <c r="J40" s="15">
        <f t="shared" si="3"/>
        <v>32.5</v>
      </c>
      <c r="K40" s="41">
        <v>18</v>
      </c>
      <c r="L40" s="12">
        <f t="shared" si="4"/>
        <v>45</v>
      </c>
      <c r="M40" s="123">
        <v>17</v>
      </c>
      <c r="N40" s="70">
        <f t="shared" si="5"/>
        <v>42.5</v>
      </c>
      <c r="O40" s="12">
        <f t="shared" si="6"/>
        <v>232.5</v>
      </c>
      <c r="P40" s="17">
        <f t="shared" si="7"/>
        <v>38.75</v>
      </c>
      <c r="Q40" s="41" t="str">
        <f t="shared" si="11"/>
        <v>PASS</v>
      </c>
    </row>
    <row r="41" spans="1:26" ht="18">
      <c r="A41" s="119">
        <v>34</v>
      </c>
      <c r="B41" s="18" t="s">
        <v>270</v>
      </c>
      <c r="C41" s="33">
        <v>16</v>
      </c>
      <c r="D41" s="12">
        <f t="shared" si="0"/>
        <v>40</v>
      </c>
      <c r="E41" s="60">
        <v>8</v>
      </c>
      <c r="F41" s="12">
        <f t="shared" si="1"/>
        <v>20</v>
      </c>
      <c r="G41" s="66">
        <v>13</v>
      </c>
      <c r="H41" s="14">
        <f t="shared" si="2"/>
        <v>32.5</v>
      </c>
      <c r="I41" s="72">
        <v>10</v>
      </c>
      <c r="J41" s="15">
        <f t="shared" si="3"/>
        <v>25</v>
      </c>
      <c r="K41" s="41">
        <v>19</v>
      </c>
      <c r="L41" s="12">
        <f t="shared" si="4"/>
        <v>47.5</v>
      </c>
      <c r="M41" s="123">
        <v>5</v>
      </c>
      <c r="N41" s="70">
        <f t="shared" si="5"/>
        <v>12.5</v>
      </c>
      <c r="O41" s="12">
        <f t="shared" si="6"/>
        <v>177.5</v>
      </c>
      <c r="P41" s="17">
        <f t="shared" si="7"/>
        <v>29.583333333333332</v>
      </c>
      <c r="Q41" s="41" t="str">
        <f t="shared" si="11"/>
        <v>PASS</v>
      </c>
    </row>
    <row r="42" spans="1:26" ht="18">
      <c r="A42" s="119">
        <v>35</v>
      </c>
      <c r="B42" s="105" t="s">
        <v>271</v>
      </c>
      <c r="C42" s="33">
        <v>38</v>
      </c>
      <c r="D42" s="12">
        <f t="shared" si="0"/>
        <v>95</v>
      </c>
      <c r="E42" s="60">
        <v>37</v>
      </c>
      <c r="F42" s="12">
        <f t="shared" si="1"/>
        <v>92.5</v>
      </c>
      <c r="G42" s="66">
        <v>32</v>
      </c>
      <c r="H42" s="14">
        <f t="shared" si="2"/>
        <v>80</v>
      </c>
      <c r="I42" s="72">
        <v>37</v>
      </c>
      <c r="J42" s="15">
        <f t="shared" si="3"/>
        <v>92.5</v>
      </c>
      <c r="K42" s="41">
        <v>39</v>
      </c>
      <c r="L42" s="12">
        <f t="shared" si="4"/>
        <v>97.5</v>
      </c>
      <c r="M42" s="123">
        <v>38</v>
      </c>
      <c r="N42" s="12">
        <f t="shared" si="5"/>
        <v>95</v>
      </c>
      <c r="O42" s="12">
        <f t="shared" si="6"/>
        <v>552.5</v>
      </c>
      <c r="P42" s="17">
        <f t="shared" si="7"/>
        <v>92.083333333333329</v>
      </c>
      <c r="Q42" s="41" t="str">
        <f t="shared" si="11"/>
        <v>PASS</v>
      </c>
    </row>
    <row r="43" spans="1:26" ht="18">
      <c r="A43" s="119">
        <v>36</v>
      </c>
      <c r="B43" s="18" t="s">
        <v>272</v>
      </c>
      <c r="C43" s="33">
        <v>29</v>
      </c>
      <c r="D43" s="12">
        <f t="shared" si="0"/>
        <v>72.5</v>
      </c>
      <c r="E43" s="60">
        <v>20</v>
      </c>
      <c r="F43" s="12">
        <f t="shared" si="1"/>
        <v>50</v>
      </c>
      <c r="G43" s="66">
        <v>27</v>
      </c>
      <c r="H43" s="14">
        <f t="shared" si="2"/>
        <v>67.5</v>
      </c>
      <c r="I43" s="72">
        <v>28</v>
      </c>
      <c r="J43" s="15">
        <f t="shared" si="3"/>
        <v>70</v>
      </c>
      <c r="K43" s="41">
        <v>26</v>
      </c>
      <c r="L43" s="12">
        <f t="shared" si="4"/>
        <v>65</v>
      </c>
      <c r="M43" s="123">
        <v>21</v>
      </c>
      <c r="N43" s="70">
        <f t="shared" si="5"/>
        <v>52.5</v>
      </c>
      <c r="O43" s="12">
        <f t="shared" si="6"/>
        <v>377.5</v>
      </c>
      <c r="P43" s="17">
        <f t="shared" si="7"/>
        <v>62.916666666666664</v>
      </c>
      <c r="Q43" s="41" t="str">
        <f t="shared" si="11"/>
        <v>PASS</v>
      </c>
    </row>
    <row r="44" spans="1:26" ht="18">
      <c r="A44" s="119">
        <v>37</v>
      </c>
      <c r="B44" s="18" t="s">
        <v>273</v>
      </c>
      <c r="C44" s="33">
        <v>28</v>
      </c>
      <c r="D44" s="12">
        <f t="shared" si="0"/>
        <v>70</v>
      </c>
      <c r="E44" s="60">
        <v>27</v>
      </c>
      <c r="F44" s="12">
        <f t="shared" si="1"/>
        <v>67.5</v>
      </c>
      <c r="G44" s="66">
        <v>30</v>
      </c>
      <c r="H44" s="14">
        <f t="shared" si="2"/>
        <v>75</v>
      </c>
      <c r="I44" s="72">
        <v>28</v>
      </c>
      <c r="J44" s="15">
        <f t="shared" si="3"/>
        <v>70</v>
      </c>
      <c r="K44" s="41">
        <v>30</v>
      </c>
      <c r="L44" s="12">
        <f t="shared" si="4"/>
        <v>75</v>
      </c>
      <c r="M44" s="123">
        <v>24</v>
      </c>
      <c r="N44" s="12">
        <f t="shared" si="5"/>
        <v>60</v>
      </c>
      <c r="O44" s="12">
        <f t="shared" si="6"/>
        <v>417.5</v>
      </c>
      <c r="P44" s="17">
        <f t="shared" si="7"/>
        <v>69.583333333333329</v>
      </c>
      <c r="Q44" s="41" t="str">
        <f t="shared" si="11"/>
        <v>PASS</v>
      </c>
    </row>
    <row r="45" spans="1:26" ht="18">
      <c r="A45" s="119">
        <v>38</v>
      </c>
      <c r="B45" s="18" t="s">
        <v>274</v>
      </c>
      <c r="C45" s="33">
        <v>24</v>
      </c>
      <c r="D45" s="12">
        <f t="shared" si="0"/>
        <v>60</v>
      </c>
      <c r="E45" s="60">
        <v>5</v>
      </c>
      <c r="F45" s="12">
        <f t="shared" si="1"/>
        <v>12.5</v>
      </c>
      <c r="G45" s="66">
        <v>16</v>
      </c>
      <c r="H45" s="14">
        <f t="shared" si="2"/>
        <v>40</v>
      </c>
      <c r="I45" s="72">
        <v>21</v>
      </c>
      <c r="J45" s="15">
        <f t="shared" si="3"/>
        <v>52.5</v>
      </c>
      <c r="K45" s="41">
        <v>22</v>
      </c>
      <c r="L45" s="12">
        <f t="shared" si="4"/>
        <v>55.000000000000007</v>
      </c>
      <c r="M45" s="123">
        <v>5</v>
      </c>
      <c r="N45" s="70">
        <f t="shared" si="5"/>
        <v>12.5</v>
      </c>
      <c r="O45" s="12">
        <f t="shared" si="6"/>
        <v>232.5</v>
      </c>
      <c r="P45" s="17">
        <f t="shared" si="7"/>
        <v>38.75</v>
      </c>
      <c r="Q45" s="41" t="str">
        <f t="shared" si="11"/>
        <v>PASS</v>
      </c>
    </row>
    <row r="46" spans="1:26" ht="18">
      <c r="A46" s="119">
        <v>39</v>
      </c>
      <c r="B46" s="18" t="s">
        <v>275</v>
      </c>
      <c r="C46" s="20">
        <v>32</v>
      </c>
      <c r="D46" s="12">
        <f t="shared" si="0"/>
        <v>80</v>
      </c>
      <c r="E46" s="60">
        <v>28</v>
      </c>
      <c r="F46" s="12">
        <f t="shared" si="1"/>
        <v>70</v>
      </c>
      <c r="G46" s="66">
        <v>13</v>
      </c>
      <c r="H46" s="14">
        <f t="shared" si="2"/>
        <v>32.5</v>
      </c>
      <c r="I46" s="72">
        <v>20</v>
      </c>
      <c r="J46" s="15">
        <f t="shared" si="3"/>
        <v>50</v>
      </c>
      <c r="K46" s="41">
        <v>29</v>
      </c>
      <c r="L46" s="12">
        <f t="shared" si="4"/>
        <v>72.5</v>
      </c>
      <c r="M46" s="123">
        <v>27</v>
      </c>
      <c r="N46" s="12">
        <f t="shared" si="5"/>
        <v>67.5</v>
      </c>
      <c r="O46" s="12">
        <f t="shared" si="6"/>
        <v>372.5</v>
      </c>
      <c r="P46" s="17">
        <f t="shared" si="7"/>
        <v>62.083333333333336</v>
      </c>
      <c r="Q46" s="41" t="str">
        <f t="shared" si="11"/>
        <v>PASS</v>
      </c>
    </row>
    <row r="47" spans="1:26" ht="18">
      <c r="A47" s="119">
        <v>40</v>
      </c>
      <c r="B47" s="18" t="s">
        <v>276</v>
      </c>
      <c r="C47" s="33">
        <v>35</v>
      </c>
      <c r="D47" s="12">
        <f t="shared" si="0"/>
        <v>87.5</v>
      </c>
      <c r="E47" s="60">
        <v>17</v>
      </c>
      <c r="F47" s="12">
        <f t="shared" si="1"/>
        <v>42.5</v>
      </c>
      <c r="G47" s="66">
        <v>16</v>
      </c>
      <c r="H47" s="14">
        <f t="shared" si="2"/>
        <v>40</v>
      </c>
      <c r="I47" s="72">
        <v>30</v>
      </c>
      <c r="J47" s="15">
        <f t="shared" si="3"/>
        <v>75</v>
      </c>
      <c r="K47" s="41">
        <v>31</v>
      </c>
      <c r="L47" s="12">
        <f t="shared" si="4"/>
        <v>77.5</v>
      </c>
      <c r="M47" s="123">
        <v>18</v>
      </c>
      <c r="N47" s="12">
        <f t="shared" si="5"/>
        <v>45</v>
      </c>
      <c r="O47" s="12">
        <f t="shared" si="6"/>
        <v>367.5</v>
      </c>
      <c r="P47" s="17">
        <f t="shared" si="7"/>
        <v>61.250000000000007</v>
      </c>
      <c r="Q47" s="41" t="str">
        <f t="shared" si="11"/>
        <v>PASS</v>
      </c>
    </row>
    <row r="48" spans="1:26" ht="18">
      <c r="A48" s="119">
        <v>41</v>
      </c>
      <c r="B48" s="18" t="s">
        <v>277</v>
      </c>
      <c r="C48" s="124">
        <v>36</v>
      </c>
      <c r="D48" s="12">
        <f t="shared" si="0"/>
        <v>90</v>
      </c>
      <c r="E48" s="60">
        <v>32</v>
      </c>
      <c r="F48" s="12">
        <f t="shared" si="1"/>
        <v>80</v>
      </c>
      <c r="G48" s="66">
        <v>24</v>
      </c>
      <c r="H48" s="14">
        <f t="shared" si="2"/>
        <v>60</v>
      </c>
      <c r="I48" s="78">
        <v>30</v>
      </c>
      <c r="J48" s="130">
        <v>75</v>
      </c>
      <c r="K48" s="41">
        <v>31</v>
      </c>
      <c r="L48" s="12">
        <f t="shared" si="4"/>
        <v>77.5</v>
      </c>
      <c r="M48" s="123">
        <v>26</v>
      </c>
      <c r="N48" s="12">
        <f t="shared" si="5"/>
        <v>65</v>
      </c>
      <c r="O48" s="131"/>
      <c r="P48" s="132"/>
      <c r="Q48" s="125"/>
      <c r="R48" s="126"/>
      <c r="S48" s="126"/>
      <c r="T48" s="126"/>
      <c r="U48" s="126"/>
      <c r="V48" s="126"/>
      <c r="W48" s="126"/>
      <c r="X48" s="126"/>
      <c r="Y48" s="126"/>
      <c r="Z48" s="126"/>
    </row>
    <row r="49" spans="1:26" ht="18">
      <c r="A49" s="119">
        <v>42</v>
      </c>
      <c r="B49" s="18" t="s">
        <v>278</v>
      </c>
      <c r="C49" s="33">
        <v>32</v>
      </c>
      <c r="D49" s="12">
        <f t="shared" si="0"/>
        <v>80</v>
      </c>
      <c r="E49" s="60">
        <v>26</v>
      </c>
      <c r="F49" s="12">
        <f t="shared" si="1"/>
        <v>65</v>
      </c>
      <c r="G49" s="66">
        <v>28</v>
      </c>
      <c r="H49" s="14">
        <f t="shared" si="2"/>
        <v>70</v>
      </c>
      <c r="I49" s="72">
        <v>35</v>
      </c>
      <c r="J49" s="15">
        <f t="shared" ref="J49:J54" si="12">IF(I49="","",IF(I49="AB",AB,IF(I49="TC","TC",(I49/J$6)*100)))</f>
        <v>87.5</v>
      </c>
      <c r="K49" s="41">
        <v>36</v>
      </c>
      <c r="L49" s="12">
        <f t="shared" si="4"/>
        <v>90</v>
      </c>
      <c r="M49" s="123">
        <v>29</v>
      </c>
      <c r="N49" s="70">
        <f t="shared" si="5"/>
        <v>72.5</v>
      </c>
      <c r="O49" s="12">
        <f t="shared" ref="O49:O54" si="13">SUM(D49,F49,H49,J49,L49,N49)</f>
        <v>465</v>
      </c>
      <c r="P49" s="17">
        <f t="shared" ref="P49:P54" si="14">IF(O49="","",IF(O49="AB","AB",(O49/P$6)*100))</f>
        <v>77.5</v>
      </c>
      <c r="Q49" s="41" t="str">
        <f t="shared" ref="Q49:Q50" si="15">IF(P49=0,"",IF(T49="FAIL","FAIL","PASS"))</f>
        <v>PASS</v>
      </c>
    </row>
    <row r="50" spans="1:26" ht="18">
      <c r="A50" s="119">
        <v>43</v>
      </c>
      <c r="B50" s="18" t="s">
        <v>279</v>
      </c>
      <c r="C50" s="33">
        <v>35</v>
      </c>
      <c r="D50" s="12">
        <f t="shared" si="0"/>
        <v>87.5</v>
      </c>
      <c r="E50" s="60">
        <v>27</v>
      </c>
      <c r="F50" s="12">
        <f t="shared" si="1"/>
        <v>67.5</v>
      </c>
      <c r="G50" s="66">
        <v>31</v>
      </c>
      <c r="H50" s="14">
        <f t="shared" si="2"/>
        <v>77.5</v>
      </c>
      <c r="I50" s="41">
        <v>37</v>
      </c>
      <c r="J50" s="15">
        <f t="shared" si="12"/>
        <v>92.5</v>
      </c>
      <c r="K50" s="41">
        <v>30</v>
      </c>
      <c r="L50" s="12">
        <f t="shared" si="4"/>
        <v>75</v>
      </c>
      <c r="M50" s="123">
        <v>35</v>
      </c>
      <c r="N50" s="12">
        <f t="shared" si="5"/>
        <v>87.5</v>
      </c>
      <c r="O50" s="12">
        <f t="shared" si="13"/>
        <v>487.5</v>
      </c>
      <c r="P50" s="17">
        <f t="shared" si="14"/>
        <v>81.25</v>
      </c>
      <c r="Q50" s="133" t="str">
        <f t="shared" si="15"/>
        <v>PASS</v>
      </c>
    </row>
    <row r="51" spans="1:26" ht="18">
      <c r="A51" s="119">
        <v>44</v>
      </c>
      <c r="B51" s="18" t="s">
        <v>280</v>
      </c>
      <c r="C51" s="124">
        <v>36</v>
      </c>
      <c r="D51" s="12">
        <f t="shared" si="0"/>
        <v>90</v>
      </c>
      <c r="E51" s="60">
        <v>30</v>
      </c>
      <c r="F51" s="12">
        <f t="shared" si="1"/>
        <v>75</v>
      </c>
      <c r="G51" s="66">
        <v>34</v>
      </c>
      <c r="H51" s="14">
        <f t="shared" si="2"/>
        <v>85</v>
      </c>
      <c r="I51" s="72">
        <v>40</v>
      </c>
      <c r="J51" s="15">
        <f t="shared" si="12"/>
        <v>100</v>
      </c>
      <c r="K51" s="41">
        <v>35</v>
      </c>
      <c r="L51" s="12">
        <f t="shared" si="4"/>
        <v>87.5</v>
      </c>
      <c r="M51" s="123">
        <v>29</v>
      </c>
      <c r="N51" s="12">
        <f t="shared" si="5"/>
        <v>72.5</v>
      </c>
      <c r="O51" s="12">
        <f t="shared" si="13"/>
        <v>510</v>
      </c>
      <c r="P51" s="17">
        <f t="shared" si="14"/>
        <v>85</v>
      </c>
      <c r="Q51" s="125"/>
      <c r="R51" s="126"/>
      <c r="S51" s="126"/>
      <c r="T51" s="126"/>
      <c r="U51" s="126"/>
      <c r="V51" s="126"/>
      <c r="W51" s="126"/>
      <c r="X51" s="126"/>
      <c r="Y51" s="126"/>
      <c r="Z51" s="126"/>
    </row>
    <row r="52" spans="1:26" ht="18">
      <c r="A52" s="119">
        <v>45</v>
      </c>
      <c r="B52" s="18" t="s">
        <v>281</v>
      </c>
      <c r="C52" s="33">
        <v>12</v>
      </c>
      <c r="D52" s="12">
        <f t="shared" si="0"/>
        <v>30</v>
      </c>
      <c r="E52" s="60">
        <v>16</v>
      </c>
      <c r="F52" s="12">
        <f t="shared" si="1"/>
        <v>40</v>
      </c>
      <c r="G52" s="66">
        <v>16</v>
      </c>
      <c r="H52" s="14">
        <f t="shared" si="2"/>
        <v>40</v>
      </c>
      <c r="I52" s="72">
        <v>35</v>
      </c>
      <c r="J52" s="15">
        <f t="shared" si="12"/>
        <v>87.5</v>
      </c>
      <c r="K52" s="41">
        <v>23</v>
      </c>
      <c r="L52" s="12">
        <f t="shared" si="4"/>
        <v>57.499999999999993</v>
      </c>
      <c r="M52" s="123">
        <v>8</v>
      </c>
      <c r="N52" s="70">
        <f t="shared" si="5"/>
        <v>20</v>
      </c>
      <c r="O52" s="12">
        <f t="shared" si="13"/>
        <v>275</v>
      </c>
      <c r="P52" s="17">
        <f t="shared" si="14"/>
        <v>45.833333333333329</v>
      </c>
      <c r="Q52" s="41" t="str">
        <f>IF(P52=0,"",IF(T52="FAIL","FAIL","PASS"))</f>
        <v>PASS</v>
      </c>
    </row>
    <row r="53" spans="1:26" ht="18">
      <c r="A53" s="119">
        <v>46</v>
      </c>
      <c r="B53" s="18" t="s">
        <v>282</v>
      </c>
      <c r="C53" s="33">
        <v>30</v>
      </c>
      <c r="D53" s="12">
        <f t="shared" si="0"/>
        <v>75</v>
      </c>
      <c r="E53" s="60">
        <v>28</v>
      </c>
      <c r="F53" s="12">
        <f t="shared" si="1"/>
        <v>70</v>
      </c>
      <c r="G53" s="66">
        <v>28</v>
      </c>
      <c r="H53" s="14">
        <f t="shared" si="2"/>
        <v>70</v>
      </c>
      <c r="I53" s="41">
        <v>37</v>
      </c>
      <c r="J53" s="15">
        <f t="shared" si="12"/>
        <v>92.5</v>
      </c>
      <c r="K53" s="41">
        <v>28</v>
      </c>
      <c r="L53" s="12">
        <f t="shared" si="4"/>
        <v>70</v>
      </c>
      <c r="M53" s="123">
        <v>27</v>
      </c>
      <c r="N53" s="12">
        <v>115</v>
      </c>
      <c r="O53" s="12">
        <f t="shared" si="13"/>
        <v>492.5</v>
      </c>
      <c r="P53" s="17">
        <f t="shared" si="14"/>
        <v>82.083333333333329</v>
      </c>
      <c r="Q53" s="22"/>
    </row>
    <row r="54" spans="1:26" ht="18">
      <c r="A54" s="119"/>
      <c r="B54" s="18" t="s">
        <v>283</v>
      </c>
      <c r="C54" s="33" t="s">
        <v>28</v>
      </c>
      <c r="D54" s="12" t="str">
        <f t="shared" si="0"/>
        <v>TC</v>
      </c>
      <c r="E54" s="60" t="s">
        <v>284</v>
      </c>
      <c r="F54" s="12" t="str">
        <f t="shared" si="1"/>
        <v>TC</v>
      </c>
      <c r="G54" s="66" t="s">
        <v>28</v>
      </c>
      <c r="H54" s="14" t="str">
        <f t="shared" si="2"/>
        <v>TC</v>
      </c>
      <c r="I54" s="72" t="s">
        <v>27</v>
      </c>
      <c r="J54" s="15" t="str">
        <f t="shared" si="12"/>
        <v>TC</v>
      </c>
      <c r="K54" s="41" t="s">
        <v>28</v>
      </c>
      <c r="L54" s="12" t="str">
        <f t="shared" si="4"/>
        <v>TC</v>
      </c>
      <c r="M54" s="123" t="s">
        <v>27</v>
      </c>
      <c r="N54" s="12" t="str">
        <f>IF(M54="","",IF(M54="AB",AB,IF(M54="TC","TC",(M54/N$6)*100)))</f>
        <v>TC</v>
      </c>
      <c r="O54" s="12">
        <f t="shared" si="13"/>
        <v>0</v>
      </c>
      <c r="P54" s="17">
        <f t="shared" si="14"/>
        <v>0</v>
      </c>
      <c r="Q54" s="41" t="str">
        <f>IF(P54=0,"",IF(T54="FAIL","FAIL","PASS"))</f>
        <v/>
      </c>
    </row>
    <row r="55" spans="1:26" ht="18">
      <c r="A55" s="86"/>
      <c r="B55" s="18"/>
      <c r="C55" s="33"/>
      <c r="D55" s="12"/>
      <c r="E55" s="60"/>
      <c r="F55" s="12"/>
      <c r="G55" s="66"/>
      <c r="H55" s="14"/>
      <c r="I55" s="72"/>
      <c r="J55" s="15"/>
      <c r="K55" s="41"/>
      <c r="L55" s="12"/>
      <c r="M55" s="123"/>
      <c r="N55" s="12"/>
      <c r="O55" s="12"/>
      <c r="P55" s="17"/>
      <c r="Q55" s="22"/>
    </row>
    <row r="56" spans="1:26" ht="18">
      <c r="A56" s="86"/>
      <c r="B56" s="18"/>
      <c r="C56" s="33"/>
      <c r="D56" s="12"/>
      <c r="E56" s="60"/>
      <c r="F56" s="12"/>
      <c r="G56" s="66"/>
      <c r="H56" s="14"/>
      <c r="I56" s="72"/>
      <c r="J56" s="15"/>
      <c r="K56" s="41"/>
      <c r="L56" s="12"/>
      <c r="M56" s="123"/>
      <c r="N56" s="12"/>
      <c r="O56" s="12"/>
      <c r="P56" s="17"/>
      <c r="Q56" s="22"/>
    </row>
    <row r="57" spans="1:26" ht="18">
      <c r="A57" s="86"/>
      <c r="B57" s="18"/>
      <c r="C57" s="33"/>
      <c r="D57" s="12"/>
      <c r="E57" s="60"/>
      <c r="F57" s="12"/>
      <c r="G57" s="66"/>
      <c r="H57" s="14"/>
      <c r="I57" s="72"/>
      <c r="J57" s="15"/>
      <c r="K57" s="41"/>
      <c r="L57" s="12"/>
      <c r="M57" s="123"/>
      <c r="N57" s="12"/>
      <c r="O57" s="12"/>
      <c r="P57" s="17"/>
      <c r="Q57" s="22"/>
    </row>
    <row r="58" spans="1:26" ht="18">
      <c r="A58" s="86"/>
      <c r="B58" s="18"/>
      <c r="C58" s="33"/>
      <c r="D58" s="12"/>
      <c r="E58" s="60"/>
      <c r="F58" s="12"/>
      <c r="G58" s="66"/>
      <c r="H58" s="14"/>
      <c r="I58" s="22"/>
      <c r="J58" s="40"/>
      <c r="K58" s="41"/>
      <c r="L58" s="12"/>
      <c r="M58" s="123"/>
      <c r="N58" s="12"/>
      <c r="O58" s="37"/>
      <c r="P58" s="39"/>
      <c r="Q58" s="22"/>
    </row>
    <row r="59" spans="1:26" ht="18">
      <c r="A59" s="86">
        <v>42</v>
      </c>
      <c r="B59" s="18"/>
      <c r="C59" s="22"/>
      <c r="D59" s="37" t="str">
        <f t="shared" ref="D59:D60" si="16">IF(C59="","",IF(C59="AB",AB,IF(C59="TC","TC",(C59/D$6)*100)))</f>
        <v/>
      </c>
      <c r="E59" s="18"/>
      <c r="F59" s="37" t="str">
        <f t="shared" ref="F59:F60" si="17">IF(E59="","",IF(E59="AB",AB,IF(E59="TC","TC",(E59/F$6)*100)))</f>
        <v/>
      </c>
      <c r="G59" s="18"/>
      <c r="H59" s="14" t="str">
        <f t="shared" ref="H59:H60" si="18">IF(G59="","",IF(G59="AB",AB,IF(G59="TC","TC",(G59/H$6)*100)))</f>
        <v/>
      </c>
      <c r="I59" s="22"/>
      <c r="J59" s="40" t="str">
        <f t="shared" ref="J59:J60" si="19">IF(I59="","",IF(I59="AB",AB,IF(I59="TC","TC",(I59/J$6)*100)))</f>
        <v/>
      </c>
      <c r="K59" s="22"/>
      <c r="L59" s="37" t="str">
        <f t="shared" ref="L59:L60" si="20">IF(K59="","",IF(K59="AB",AB,IF(K59="TC","TC",(K59/L$6)*100)))</f>
        <v/>
      </c>
      <c r="M59" s="37"/>
      <c r="N59" s="37" t="str">
        <f t="shared" ref="N59:N60" si="21">IF(M59="","",IF(M59="AB",AB,IF(M59="TC","TC",(M59/N$6)*100)))</f>
        <v/>
      </c>
      <c r="O59" s="12" t="e">
        <f t="shared" ref="O59:O61" si="22">SUM(D59,F59,H59,J59,L59,N59,#REF!)</f>
        <v>#REF!</v>
      </c>
      <c r="P59" s="17" t="e">
        <f t="shared" ref="P59:P61" si="23">IF(O59="","",IF(O59="AB","AB",(O59/P$6)*100))</f>
        <v>#REF!</v>
      </c>
      <c r="Q59" s="41" t="e">
        <f t="shared" ref="Q59:Q71" si="24">IF(P59=0,"",IF(T59="FAIL","FAIL","PASS"))</f>
        <v>#REF!</v>
      </c>
    </row>
    <row r="60" spans="1:26" ht="18">
      <c r="A60" s="86">
        <v>43</v>
      </c>
      <c r="B60" s="18"/>
      <c r="C60" s="22"/>
      <c r="D60" s="37" t="str">
        <f t="shared" si="16"/>
        <v/>
      </c>
      <c r="E60" s="18"/>
      <c r="F60" s="37" t="str">
        <f t="shared" si="17"/>
        <v/>
      </c>
      <c r="G60" s="18"/>
      <c r="H60" s="38" t="str">
        <f t="shared" si="18"/>
        <v/>
      </c>
      <c r="I60" s="22"/>
      <c r="J60" s="40" t="str">
        <f t="shared" si="19"/>
        <v/>
      </c>
      <c r="K60" s="22"/>
      <c r="L60" s="37" t="str">
        <f t="shared" si="20"/>
        <v/>
      </c>
      <c r="M60" s="37"/>
      <c r="N60" s="37" t="str">
        <f t="shared" si="21"/>
        <v/>
      </c>
      <c r="O60" s="12" t="e">
        <f t="shared" si="22"/>
        <v>#REF!</v>
      </c>
      <c r="P60" s="17" t="e">
        <f t="shared" si="23"/>
        <v>#REF!</v>
      </c>
      <c r="Q60" s="41" t="e">
        <f t="shared" si="24"/>
        <v>#REF!</v>
      </c>
    </row>
    <row r="61" spans="1:26" ht="18">
      <c r="A61" s="86">
        <v>44</v>
      </c>
      <c r="B61" s="18"/>
      <c r="C61" s="22"/>
      <c r="D61" s="37"/>
      <c r="E61" s="22"/>
      <c r="F61" s="37"/>
      <c r="G61" s="22"/>
      <c r="H61" s="38"/>
      <c r="I61" s="22"/>
      <c r="J61" s="40"/>
      <c r="K61" s="22"/>
      <c r="L61" s="37"/>
      <c r="M61" s="37"/>
      <c r="N61" s="37"/>
      <c r="O61" s="12" t="e">
        <f t="shared" si="22"/>
        <v>#REF!</v>
      </c>
      <c r="P61" s="17" t="e">
        <f t="shared" si="23"/>
        <v>#REF!</v>
      </c>
      <c r="Q61" s="41" t="e">
        <f t="shared" si="24"/>
        <v>#REF!</v>
      </c>
    </row>
    <row r="62" spans="1:26" ht="18">
      <c r="A62" s="86">
        <v>45</v>
      </c>
      <c r="B62" s="22"/>
      <c r="C62" s="22"/>
      <c r="D62" s="37"/>
      <c r="E62" s="22"/>
      <c r="F62" s="37"/>
      <c r="G62" s="22"/>
      <c r="H62" s="38" t="str">
        <f t="shared" ref="H62:H72" si="25">IF(G62="","",IF(G62="AB",AB,IF(G62="TC","TC",(G62/H$6)*100)))</f>
        <v/>
      </c>
      <c r="I62" s="22"/>
      <c r="J62" s="40"/>
      <c r="K62" s="22"/>
      <c r="L62" s="37"/>
      <c r="M62" s="37"/>
      <c r="N62" s="37"/>
      <c r="O62" s="37"/>
      <c r="P62" s="39"/>
      <c r="Q62" s="22" t="str">
        <f t="shared" si="24"/>
        <v/>
      </c>
    </row>
    <row r="63" spans="1:26" ht="18">
      <c r="A63" s="86">
        <v>41</v>
      </c>
      <c r="B63" s="22"/>
      <c r="C63" s="22"/>
      <c r="D63" s="37" t="str">
        <f t="shared" ref="D63:D72" si="26">IF(C63="","",IF(C63="AB",AB,IF(C63="TC","TC",(C63/D$6)*100)))</f>
        <v/>
      </c>
      <c r="E63" s="22"/>
      <c r="F63" s="37" t="str">
        <f t="shared" ref="F63:F72" si="27">IF(E63="","",IF(E63="AB",AB,IF(E63="TC","TC",(E63/F$6)*100)))</f>
        <v/>
      </c>
      <c r="G63" s="22"/>
      <c r="H63" s="38" t="str">
        <f t="shared" si="25"/>
        <v/>
      </c>
      <c r="I63" s="22"/>
      <c r="J63" s="40" t="str">
        <f t="shared" ref="J63:J72" si="28">IF(I63="","",IF(I63="AB",AB,IF(I63="TC","TC",(I63/J$6)*100)))</f>
        <v/>
      </c>
      <c r="K63" s="22"/>
      <c r="L63" s="37" t="str">
        <f t="shared" ref="L63:L72" si="29">IF(K63="","",IF(K63="AB",AB,IF(K63="TC","TC",(K63/L$6)*100)))</f>
        <v/>
      </c>
      <c r="M63" s="37"/>
      <c r="N63" s="37" t="str">
        <f t="shared" ref="N63:N72" si="30">IF(M63="","",IF(M63="AB",AB,IF(M63="TC","TC",(M63/N$6)*100)))</f>
        <v/>
      </c>
      <c r="O63" s="12" t="e">
        <f t="shared" ref="O63:O71" si="31">SUM(D63,F63,H63,J63,L63,N63,#REF!)</f>
        <v>#REF!</v>
      </c>
      <c r="P63" s="17" t="e">
        <f t="shared" ref="P63:P72" si="32">IF(O63="","",IF(O63="AB","AB",(O63/P$6)*100))</f>
        <v>#REF!</v>
      </c>
      <c r="Q63" s="41" t="e">
        <f t="shared" si="24"/>
        <v>#REF!</v>
      </c>
    </row>
    <row r="64" spans="1:26" ht="18">
      <c r="A64" s="86">
        <v>42</v>
      </c>
      <c r="B64" s="22"/>
      <c r="C64" s="22"/>
      <c r="D64" s="37" t="str">
        <f t="shared" si="26"/>
        <v/>
      </c>
      <c r="E64" s="22"/>
      <c r="F64" s="37" t="str">
        <f t="shared" si="27"/>
        <v/>
      </c>
      <c r="G64" s="22"/>
      <c r="H64" s="38" t="str">
        <f t="shared" si="25"/>
        <v/>
      </c>
      <c r="I64" s="22"/>
      <c r="J64" s="40" t="str">
        <f t="shared" si="28"/>
        <v/>
      </c>
      <c r="K64" s="22"/>
      <c r="L64" s="37" t="str">
        <f t="shared" si="29"/>
        <v/>
      </c>
      <c r="M64" s="37"/>
      <c r="N64" s="37" t="str">
        <f t="shared" si="30"/>
        <v/>
      </c>
      <c r="O64" s="12" t="e">
        <f t="shared" si="31"/>
        <v>#REF!</v>
      </c>
      <c r="P64" s="17" t="e">
        <f t="shared" si="32"/>
        <v>#REF!</v>
      </c>
      <c r="Q64" s="41" t="e">
        <f t="shared" si="24"/>
        <v>#REF!</v>
      </c>
    </row>
    <row r="65" spans="1:17" ht="18">
      <c r="A65" s="86">
        <v>43</v>
      </c>
      <c r="B65" s="22"/>
      <c r="C65" s="22"/>
      <c r="D65" s="37" t="str">
        <f t="shared" si="26"/>
        <v/>
      </c>
      <c r="E65" s="22"/>
      <c r="F65" s="37" t="str">
        <f t="shared" si="27"/>
        <v/>
      </c>
      <c r="G65" s="22"/>
      <c r="H65" s="38" t="str">
        <f t="shared" si="25"/>
        <v/>
      </c>
      <c r="I65" s="22"/>
      <c r="J65" s="40" t="str">
        <f t="shared" si="28"/>
        <v/>
      </c>
      <c r="K65" s="22"/>
      <c r="L65" s="37" t="str">
        <f t="shared" si="29"/>
        <v/>
      </c>
      <c r="M65" s="37"/>
      <c r="N65" s="37" t="str">
        <f t="shared" si="30"/>
        <v/>
      </c>
      <c r="O65" s="12" t="e">
        <f t="shared" si="31"/>
        <v>#REF!</v>
      </c>
      <c r="P65" s="17" t="e">
        <f t="shared" si="32"/>
        <v>#REF!</v>
      </c>
      <c r="Q65" s="41" t="e">
        <f t="shared" si="24"/>
        <v>#REF!</v>
      </c>
    </row>
    <row r="66" spans="1:17" ht="18">
      <c r="A66" s="86">
        <v>44</v>
      </c>
      <c r="B66" s="22"/>
      <c r="C66" s="22"/>
      <c r="D66" s="37" t="str">
        <f t="shared" si="26"/>
        <v/>
      </c>
      <c r="E66" s="22"/>
      <c r="F66" s="37" t="str">
        <f t="shared" si="27"/>
        <v/>
      </c>
      <c r="G66" s="22"/>
      <c r="H66" s="38" t="str">
        <f t="shared" si="25"/>
        <v/>
      </c>
      <c r="I66" s="22"/>
      <c r="J66" s="40" t="str">
        <f t="shared" si="28"/>
        <v/>
      </c>
      <c r="K66" s="22"/>
      <c r="L66" s="37" t="str">
        <f t="shared" si="29"/>
        <v/>
      </c>
      <c r="M66" s="37"/>
      <c r="N66" s="37" t="str">
        <f t="shared" si="30"/>
        <v/>
      </c>
      <c r="O66" s="12" t="e">
        <f t="shared" si="31"/>
        <v>#REF!</v>
      </c>
      <c r="P66" s="17" t="e">
        <f t="shared" si="32"/>
        <v>#REF!</v>
      </c>
      <c r="Q66" s="41" t="e">
        <f t="shared" si="24"/>
        <v>#REF!</v>
      </c>
    </row>
    <row r="67" spans="1:17" ht="18">
      <c r="A67" s="86">
        <v>45</v>
      </c>
      <c r="B67" s="22"/>
      <c r="C67" s="37"/>
      <c r="D67" s="37" t="str">
        <f t="shared" si="26"/>
        <v/>
      </c>
      <c r="E67" s="37"/>
      <c r="F67" s="37" t="str">
        <f t="shared" si="27"/>
        <v/>
      </c>
      <c r="G67" s="38"/>
      <c r="H67" s="38" t="str">
        <f t="shared" si="25"/>
        <v/>
      </c>
      <c r="I67" s="22"/>
      <c r="J67" s="40" t="str">
        <f t="shared" si="28"/>
        <v/>
      </c>
      <c r="K67" s="37"/>
      <c r="L67" s="37" t="str">
        <f t="shared" si="29"/>
        <v/>
      </c>
      <c r="M67" s="37"/>
      <c r="N67" s="37" t="str">
        <f t="shared" si="30"/>
        <v/>
      </c>
      <c r="O67" s="12" t="e">
        <f t="shared" si="31"/>
        <v>#REF!</v>
      </c>
      <c r="P67" s="17" t="e">
        <f t="shared" si="32"/>
        <v>#REF!</v>
      </c>
      <c r="Q67" s="41" t="e">
        <f t="shared" si="24"/>
        <v>#REF!</v>
      </c>
    </row>
    <row r="68" spans="1:17" ht="18">
      <c r="A68" s="86">
        <v>46</v>
      </c>
      <c r="B68" s="22"/>
      <c r="C68" s="37"/>
      <c r="D68" s="37" t="str">
        <f t="shared" si="26"/>
        <v/>
      </c>
      <c r="E68" s="37"/>
      <c r="F68" s="37" t="str">
        <f t="shared" si="27"/>
        <v/>
      </c>
      <c r="G68" s="38"/>
      <c r="H68" s="38" t="str">
        <f t="shared" si="25"/>
        <v/>
      </c>
      <c r="I68" s="22"/>
      <c r="J68" s="40" t="str">
        <f t="shared" si="28"/>
        <v/>
      </c>
      <c r="K68" s="37"/>
      <c r="L68" s="37" t="str">
        <f t="shared" si="29"/>
        <v/>
      </c>
      <c r="M68" s="37"/>
      <c r="N68" s="37" t="str">
        <f t="shared" si="30"/>
        <v/>
      </c>
      <c r="O68" s="12" t="e">
        <f t="shared" si="31"/>
        <v>#REF!</v>
      </c>
      <c r="P68" s="17" t="e">
        <f t="shared" si="32"/>
        <v>#REF!</v>
      </c>
      <c r="Q68" s="41" t="e">
        <f t="shared" si="24"/>
        <v>#REF!</v>
      </c>
    </row>
    <row r="69" spans="1:17" ht="18">
      <c r="A69" s="86">
        <v>47</v>
      </c>
      <c r="B69" s="22"/>
      <c r="C69" s="37"/>
      <c r="D69" s="37" t="str">
        <f t="shared" si="26"/>
        <v/>
      </c>
      <c r="E69" s="37"/>
      <c r="F69" s="37" t="str">
        <f t="shared" si="27"/>
        <v/>
      </c>
      <c r="G69" s="38"/>
      <c r="H69" s="38" t="str">
        <f t="shared" si="25"/>
        <v/>
      </c>
      <c r="I69" s="22"/>
      <c r="J69" s="40" t="str">
        <f t="shared" si="28"/>
        <v/>
      </c>
      <c r="K69" s="37"/>
      <c r="L69" s="37" t="str">
        <f t="shared" si="29"/>
        <v/>
      </c>
      <c r="M69" s="37"/>
      <c r="N69" s="37" t="str">
        <f t="shared" si="30"/>
        <v/>
      </c>
      <c r="O69" s="12" t="e">
        <f t="shared" si="31"/>
        <v>#REF!</v>
      </c>
      <c r="P69" s="17" t="e">
        <f t="shared" si="32"/>
        <v>#REF!</v>
      </c>
      <c r="Q69" s="41" t="e">
        <f t="shared" si="24"/>
        <v>#REF!</v>
      </c>
    </row>
    <row r="70" spans="1:17" ht="18">
      <c r="A70" s="86">
        <v>48</v>
      </c>
      <c r="B70" s="22"/>
      <c r="C70" s="37"/>
      <c r="D70" s="37" t="str">
        <f t="shared" si="26"/>
        <v/>
      </c>
      <c r="E70" s="37"/>
      <c r="F70" s="37" t="str">
        <f t="shared" si="27"/>
        <v/>
      </c>
      <c r="G70" s="38"/>
      <c r="H70" s="38" t="str">
        <f t="shared" si="25"/>
        <v/>
      </c>
      <c r="I70" s="22"/>
      <c r="J70" s="40" t="str">
        <f t="shared" si="28"/>
        <v/>
      </c>
      <c r="K70" s="37"/>
      <c r="L70" s="37" t="str">
        <f t="shared" si="29"/>
        <v/>
      </c>
      <c r="M70" s="37"/>
      <c r="N70" s="37" t="str">
        <f t="shared" si="30"/>
        <v/>
      </c>
      <c r="O70" s="12" t="e">
        <f t="shared" si="31"/>
        <v>#REF!</v>
      </c>
      <c r="P70" s="17" t="e">
        <f t="shared" si="32"/>
        <v>#REF!</v>
      </c>
      <c r="Q70" s="41" t="e">
        <f t="shared" si="24"/>
        <v>#REF!</v>
      </c>
    </row>
    <row r="71" spans="1:17" ht="18">
      <c r="A71" s="86">
        <v>49</v>
      </c>
      <c r="B71" s="22"/>
      <c r="C71" s="37"/>
      <c r="D71" s="37" t="str">
        <f t="shared" si="26"/>
        <v/>
      </c>
      <c r="E71" s="37"/>
      <c r="F71" s="37" t="str">
        <f t="shared" si="27"/>
        <v/>
      </c>
      <c r="G71" s="38"/>
      <c r="H71" s="38" t="str">
        <f t="shared" si="25"/>
        <v/>
      </c>
      <c r="I71" s="22"/>
      <c r="J71" s="40" t="str">
        <f t="shared" si="28"/>
        <v/>
      </c>
      <c r="K71" s="37"/>
      <c r="L71" s="37" t="str">
        <f t="shared" si="29"/>
        <v/>
      </c>
      <c r="M71" s="37"/>
      <c r="N71" s="37" t="str">
        <f t="shared" si="30"/>
        <v/>
      </c>
      <c r="O71" s="12" t="e">
        <f t="shared" si="31"/>
        <v>#REF!</v>
      </c>
      <c r="P71" s="17" t="e">
        <f t="shared" si="32"/>
        <v>#REF!</v>
      </c>
      <c r="Q71" s="41" t="e">
        <f t="shared" si="24"/>
        <v>#REF!</v>
      </c>
    </row>
    <row r="72" spans="1:17" ht="18">
      <c r="A72" s="361" t="s">
        <v>70</v>
      </c>
      <c r="B72" s="362"/>
      <c r="C72" s="42">
        <f>IF(C75=0,"",SUM(C8:C71)/C75)</f>
        <v>29.282608695652176</v>
      </c>
      <c r="D72" s="12">
        <f t="shared" si="26"/>
        <v>73.206521739130437</v>
      </c>
      <c r="E72" s="42">
        <f>IF(E75=0,"",SUM(E8:E71)/E75)</f>
        <v>24.586956521739129</v>
      </c>
      <c r="F72" s="42">
        <f t="shared" si="27"/>
        <v>61.467391304347821</v>
      </c>
      <c r="G72" s="42">
        <f>IF(G75=0,"",SUM(G8:G71)/G75)</f>
        <v>24.478260869565219</v>
      </c>
      <c r="H72" s="42">
        <f t="shared" si="25"/>
        <v>61.195652173913054</v>
      </c>
      <c r="I72" s="42">
        <f>IF(I75=0,"",SUM(I8:I71)/I75)</f>
        <v>27.173913043478262</v>
      </c>
      <c r="J72" s="42">
        <f t="shared" si="28"/>
        <v>67.934782608695656</v>
      </c>
      <c r="K72" s="42">
        <f>IF(K75=0,"",SUM(K8:K71)/K75)</f>
        <v>29.543478260869566</v>
      </c>
      <c r="L72" s="42">
        <f t="shared" si="29"/>
        <v>73.858695652173907</v>
      </c>
      <c r="M72" s="42">
        <f>IF(M75=0,"",SUM(M8:M71)/M75)</f>
        <v>26.478260869565219</v>
      </c>
      <c r="N72" s="42">
        <f t="shared" si="30"/>
        <v>66.195652173913047</v>
      </c>
      <c r="O72" s="37"/>
      <c r="P72" s="39" t="str">
        <f t="shared" si="32"/>
        <v/>
      </c>
      <c r="Q72" s="39" t="str">
        <f>IF(Q75=0,"",SUM(Q8:Q71)/Q75)</f>
        <v/>
      </c>
    </row>
    <row r="73" spans="1:17" ht="34.799999999999997">
      <c r="A73" s="387" t="s">
        <v>71</v>
      </c>
      <c r="B73" s="107" t="s">
        <v>72</v>
      </c>
      <c r="C73" s="359">
        <v>46</v>
      </c>
      <c r="D73" s="360"/>
      <c r="E73" s="359">
        <v>46</v>
      </c>
      <c r="F73" s="360"/>
      <c r="G73" s="359">
        <v>46</v>
      </c>
      <c r="H73" s="360"/>
      <c r="I73" s="359">
        <v>46</v>
      </c>
      <c r="J73" s="360"/>
      <c r="K73" s="359">
        <v>46</v>
      </c>
      <c r="L73" s="360"/>
      <c r="M73" s="359">
        <f>COUNTA(M8:M71)</f>
        <v>47</v>
      </c>
      <c r="N73" s="360"/>
      <c r="O73" s="359" t="s">
        <v>15</v>
      </c>
      <c r="P73" s="378"/>
      <c r="Q73" s="360"/>
    </row>
    <row r="74" spans="1:17" ht="17.399999999999999">
      <c r="A74" s="381"/>
      <c r="B74" s="45" t="s">
        <v>73</v>
      </c>
      <c r="C74" s="361">
        <f>C73-C75</f>
        <v>0</v>
      </c>
      <c r="D74" s="362"/>
      <c r="E74" s="361">
        <f>E73-E75</f>
        <v>0</v>
      </c>
      <c r="F74" s="362"/>
      <c r="G74" s="361">
        <f>G73-G75</f>
        <v>0</v>
      </c>
      <c r="H74" s="362"/>
      <c r="I74" s="361">
        <f>I73-I75</f>
        <v>0</v>
      </c>
      <c r="J74" s="362"/>
      <c r="K74" s="361">
        <f>K73-K75</f>
        <v>0</v>
      </c>
      <c r="L74" s="362"/>
      <c r="M74" s="361">
        <f>M73-M75</f>
        <v>1</v>
      </c>
      <c r="N74" s="362"/>
      <c r="O74" s="361">
        <f>COUNTIF(R8:R71,0)</f>
        <v>0</v>
      </c>
      <c r="P74" s="364"/>
      <c r="Q74" s="362"/>
    </row>
    <row r="75" spans="1:17" ht="17.399999999999999">
      <c r="A75" s="381"/>
      <c r="B75" s="46" t="s">
        <v>74</v>
      </c>
      <c r="C75" s="361">
        <f>COUNTIFS(D8:D71,"&gt;0")</f>
        <v>46</v>
      </c>
      <c r="D75" s="362"/>
      <c r="E75" s="361">
        <f>COUNTIFS(F8:F71,"&gt;0")</f>
        <v>46</v>
      </c>
      <c r="F75" s="362"/>
      <c r="G75" s="361">
        <f>COUNTIFS(H8:H71,"&gt;0")</f>
        <v>46</v>
      </c>
      <c r="H75" s="362"/>
      <c r="I75" s="361">
        <f>COUNTIFS(J8:J71,"&gt;0")</f>
        <v>46</v>
      </c>
      <c r="J75" s="362"/>
      <c r="K75" s="361">
        <f>COUNTIFS(L8:L71,"&gt;0")</f>
        <v>46</v>
      </c>
      <c r="L75" s="362"/>
      <c r="M75" s="361">
        <f>COUNTIFS(N8:N71,"&gt;0")</f>
        <v>46</v>
      </c>
      <c r="N75" s="362"/>
      <c r="O75" s="361">
        <v>42</v>
      </c>
      <c r="P75" s="364"/>
      <c r="Q75" s="362"/>
    </row>
    <row r="76" spans="1:17" ht="17.399999999999999">
      <c r="A76" s="381"/>
      <c r="B76" s="46" t="s">
        <v>75</v>
      </c>
      <c r="C76" s="361">
        <f>C75-C78</f>
        <v>45</v>
      </c>
      <c r="D76" s="362"/>
      <c r="E76" s="361">
        <f>E75-E78</f>
        <v>42</v>
      </c>
      <c r="F76" s="362"/>
      <c r="G76" s="361">
        <f>G75-G78</f>
        <v>45</v>
      </c>
      <c r="H76" s="362"/>
      <c r="I76" s="361">
        <f>I75-I78</f>
        <v>43</v>
      </c>
      <c r="J76" s="362"/>
      <c r="K76" s="361">
        <f>K75-K78</f>
        <v>46</v>
      </c>
      <c r="L76" s="362"/>
      <c r="M76" s="361">
        <f>M75-M78</f>
        <v>41</v>
      </c>
      <c r="N76" s="362"/>
      <c r="O76" s="361">
        <f>COUNTIF(Q8:Q71,"PASS")</f>
        <v>38</v>
      </c>
      <c r="P76" s="364"/>
      <c r="Q76" s="362"/>
    </row>
    <row r="77" spans="1:17" ht="17.399999999999999">
      <c r="A77" s="381"/>
      <c r="B77" s="46" t="s">
        <v>76</v>
      </c>
      <c r="C77" s="363">
        <f>IF(C75=0,"",(C76/C75)*100)</f>
        <v>97.826086956521735</v>
      </c>
      <c r="D77" s="362"/>
      <c r="E77" s="363">
        <f>IF(E75=0,"",(E76/E75)*100)</f>
        <v>91.304347826086953</v>
      </c>
      <c r="F77" s="362"/>
      <c r="G77" s="363">
        <f>IF(G75=0,"",(G76/G75)*100)</f>
        <v>97.826086956521735</v>
      </c>
      <c r="H77" s="362"/>
      <c r="I77" s="363">
        <f>IF(I75=0,"",(I76/I75)*100)</f>
        <v>93.478260869565219</v>
      </c>
      <c r="J77" s="362"/>
      <c r="K77" s="363">
        <f>IF(K75=0,"",(K76/K75)*100)</f>
        <v>100</v>
      </c>
      <c r="L77" s="362"/>
      <c r="M77" s="363">
        <f>IF(M75=0,"",(M76/M75)*100)</f>
        <v>89.130434782608688</v>
      </c>
      <c r="N77" s="362"/>
      <c r="O77" s="363">
        <f>IF(O75=0,"",(O76/O75)*100)</f>
        <v>90.476190476190482</v>
      </c>
      <c r="P77" s="364"/>
      <c r="Q77" s="362"/>
    </row>
    <row r="78" spans="1:17" ht="17.399999999999999">
      <c r="A78" s="381"/>
      <c r="B78" s="46" t="s">
        <v>77</v>
      </c>
      <c r="C78" s="361">
        <f>COUNTIFS(D8:D71,"&lt;=32",D8:D71,"&gt; 0")</f>
        <v>1</v>
      </c>
      <c r="D78" s="362"/>
      <c r="E78" s="361">
        <f>COUNTIFS(F8:F71,"&lt;=32",F8:F71,"&gt; 0")</f>
        <v>4</v>
      </c>
      <c r="F78" s="362"/>
      <c r="G78" s="361">
        <f>COUNTIFS(H8:H71,"&lt;=32",H8:H71,"&gt; 0")</f>
        <v>1</v>
      </c>
      <c r="H78" s="362"/>
      <c r="I78" s="361">
        <f>COUNTIFS(J8:J71,"&lt;=32",J8:J71,"&gt; 0")</f>
        <v>3</v>
      </c>
      <c r="J78" s="362"/>
      <c r="K78" s="361">
        <f>COUNTIFS(L8:L71,"&lt;=32",L8:L71,"&gt; 0")</f>
        <v>0</v>
      </c>
      <c r="L78" s="362"/>
      <c r="M78" s="361">
        <f>COUNTIFS(N8:N71,"&lt;=32",N8:N71,"&gt; 0")</f>
        <v>5</v>
      </c>
      <c r="N78" s="362"/>
      <c r="O78" s="361">
        <f>COUNTIFS(P8:P71,"&lt;=32",P8:P71,"&gt; 0")</f>
        <v>2</v>
      </c>
      <c r="P78" s="364"/>
      <c r="Q78" s="362"/>
    </row>
    <row r="79" spans="1:17" ht="17.399999999999999">
      <c r="A79" s="381"/>
      <c r="B79" s="46" t="s">
        <v>78</v>
      </c>
      <c r="C79" s="361">
        <f>COUNTIFS(D8:D71,"&gt;=32.1",D8:D71,"&lt;=44")</f>
        <v>5</v>
      </c>
      <c r="D79" s="362"/>
      <c r="E79" s="361">
        <f>COUNTIFS(F8:F71,"&gt;=32.1",F8:F71,"&lt;=44")</f>
        <v>10</v>
      </c>
      <c r="F79" s="362"/>
      <c r="G79" s="361">
        <f>COUNTIFS(H8:H71,"&gt;=32.1",H8:H71,"&lt;=44")</f>
        <v>9</v>
      </c>
      <c r="H79" s="362"/>
      <c r="I79" s="361">
        <f>COUNTIFS(J8:J71,"&gt;=32.1",J8:J71,"&lt;=44")</f>
        <v>4</v>
      </c>
      <c r="J79" s="362"/>
      <c r="K79" s="361">
        <f>COUNTIFS(L8:L71,"&gt;=32.1",L8:L71,"&lt;=44")</f>
        <v>1</v>
      </c>
      <c r="L79" s="362"/>
      <c r="M79" s="361">
        <f>COUNTIFS(N8:N71,"&gt;=32.1",N8:N71,"&lt;=44")</f>
        <v>3</v>
      </c>
      <c r="N79" s="362"/>
      <c r="O79" s="361">
        <f>COUNTIFS(P8:P71,"&gt;=32.1",P8:P71,"&lt;=44")</f>
        <v>4</v>
      </c>
      <c r="P79" s="364"/>
      <c r="Q79" s="362"/>
    </row>
    <row r="80" spans="1:17" ht="17.399999999999999">
      <c r="A80" s="381"/>
      <c r="B80" s="46" t="s">
        <v>79</v>
      </c>
      <c r="C80" s="361">
        <f>COUNTIFS(D8:D71,"&gt;=44.1",D8:D71,"&lt;=59")</f>
        <v>2</v>
      </c>
      <c r="D80" s="362"/>
      <c r="E80" s="361">
        <f>COUNTIFS(F8:F71,"&gt;=44.1",F8:F71,"&lt;=59")</f>
        <v>7</v>
      </c>
      <c r="F80" s="362"/>
      <c r="G80" s="361">
        <f>COUNTIFS(H8:H71,"&gt;=44.1",H8:H71,"&lt;=59")</f>
        <v>12</v>
      </c>
      <c r="H80" s="362"/>
      <c r="I80" s="361">
        <f>COUNTIFS(J8:J71,"&gt;=44.1",J8:J71,"&lt;=59")</f>
        <v>8</v>
      </c>
      <c r="J80" s="362"/>
      <c r="K80" s="361">
        <f>COUNTIFS(L8:L71,"&gt;=44.1",L8:L71,"&lt;=59")</f>
        <v>7</v>
      </c>
      <c r="L80" s="362"/>
      <c r="M80" s="361">
        <f>COUNTIFS(N8:N71,"&gt;=44.1",N8:N71,"&lt;=59")</f>
        <v>6</v>
      </c>
      <c r="N80" s="362"/>
      <c r="O80" s="361">
        <f>COUNTIFS(P8:P71,"&gt;=44.1",P8:P71,"&lt;=59")</f>
        <v>6</v>
      </c>
      <c r="P80" s="364"/>
      <c r="Q80" s="362"/>
    </row>
    <row r="81" spans="1:17" ht="17.399999999999999">
      <c r="A81" s="381"/>
      <c r="B81" s="46" t="s">
        <v>80</v>
      </c>
      <c r="C81" s="361">
        <f>COUNTIFS(D8:D71,"&gt;=59.1",D8:D71,"&lt;=74")</f>
        <v>10</v>
      </c>
      <c r="D81" s="362"/>
      <c r="E81" s="361">
        <f>COUNTIFS(F8:F71,"&gt;=59.1",F8:F71,"&lt;=74")</f>
        <v>9</v>
      </c>
      <c r="F81" s="362"/>
      <c r="G81" s="361">
        <f>COUNTIFS(H8:H71,"&gt;=59.1",H8:H71,"&lt;=74")</f>
        <v>12</v>
      </c>
      <c r="H81" s="362"/>
      <c r="I81" s="361">
        <f>COUNTIFS(J8:J71,"&gt;=59.1",J8:J71,"&lt;=74")</f>
        <v>12</v>
      </c>
      <c r="J81" s="362"/>
      <c r="K81" s="361">
        <f>COUNTIFS(L8:L71,"&gt;=59.1",L8:L71,"&lt;=74")</f>
        <v>11</v>
      </c>
      <c r="L81" s="362"/>
      <c r="M81" s="361">
        <f>COUNTIFS(N8:N71,"&gt;=59.1",N8:N71,"&lt;=74")</f>
        <v>9</v>
      </c>
      <c r="N81" s="362"/>
      <c r="O81" s="361">
        <f>COUNTIFS(P8:P71,"&gt;=59.1",P8:P71,"&lt;=74")</f>
        <v>16</v>
      </c>
      <c r="P81" s="364"/>
      <c r="Q81" s="362"/>
    </row>
    <row r="82" spans="1:17" ht="17.399999999999999">
      <c r="A82" s="381"/>
      <c r="B82" s="46" t="s">
        <v>81</v>
      </c>
      <c r="C82" s="361">
        <f>COUNTIFS(D8:D71,"&gt;=74.1",D8:D71,"&lt;89")</f>
        <v>17</v>
      </c>
      <c r="D82" s="362"/>
      <c r="E82" s="361">
        <f>COUNTIFS(F8:F71,"&gt;=74.1",F8:F71,"&lt;89")</f>
        <v>8</v>
      </c>
      <c r="F82" s="362"/>
      <c r="G82" s="361">
        <f>COUNTIFS(H8:H71,"&gt;=74.1",H8:H71,"&lt;89")</f>
        <v>9</v>
      </c>
      <c r="H82" s="362"/>
      <c r="I82" s="361">
        <f>COUNTIFS(J8:J71,"&gt;=74.1",J8:J71,"&lt;89")</f>
        <v>9</v>
      </c>
      <c r="J82" s="362"/>
      <c r="K82" s="361">
        <f>COUNTIFS(L8:L71,"&gt;=74.1",L8:L71,"&lt;89")</f>
        <v>21</v>
      </c>
      <c r="L82" s="362"/>
      <c r="M82" s="361">
        <f>COUNTIFS(N8:N71,"&gt;=74.1",N8:N71,"&lt;89")</f>
        <v>14</v>
      </c>
      <c r="N82" s="362"/>
      <c r="O82" s="361">
        <f>COUNTIFS(P8:P71,"&gt;=74.1",P8:P71,"&lt;89")</f>
        <v>13</v>
      </c>
      <c r="P82" s="364"/>
      <c r="Q82" s="362"/>
    </row>
    <row r="83" spans="1:17" ht="17.399999999999999">
      <c r="A83" s="382"/>
      <c r="B83" s="48" t="s">
        <v>82</v>
      </c>
      <c r="C83" s="370">
        <f>COUNTIF(D8:D71,"&gt;=89.1")</f>
        <v>11</v>
      </c>
      <c r="D83" s="371"/>
      <c r="E83" s="370">
        <f>COUNTIF(F8:F71,"&gt;=89.1")</f>
        <v>8</v>
      </c>
      <c r="F83" s="371"/>
      <c r="G83" s="370">
        <f>COUNTIF(H8:H71,"&gt;=89.1")</f>
        <v>3</v>
      </c>
      <c r="H83" s="371"/>
      <c r="I83" s="370">
        <f>COUNTIF(J8:J71,"&gt;=89.1")</f>
        <v>10</v>
      </c>
      <c r="J83" s="371"/>
      <c r="K83" s="370">
        <f>COUNTIF(L8:L71,"&gt;=89.1")</f>
        <v>6</v>
      </c>
      <c r="L83" s="371"/>
      <c r="M83" s="370">
        <f>COUNTIF(N8:N71,"&gt;=89.1")</f>
        <v>9</v>
      </c>
      <c r="N83" s="371"/>
      <c r="O83" s="361">
        <f>COUNTIF(P8:P71,"&gt;=89.1")</f>
        <v>4</v>
      </c>
      <c r="P83" s="364"/>
      <c r="Q83" s="362"/>
    </row>
    <row r="84" spans="1:17" ht="17.399999999999999">
      <c r="A84" s="388" t="s">
        <v>83</v>
      </c>
      <c r="B84" s="364"/>
      <c r="C84" s="372"/>
      <c r="D84" s="362"/>
      <c r="E84" s="372"/>
      <c r="F84" s="362"/>
      <c r="G84" s="372"/>
      <c r="H84" s="362"/>
      <c r="I84" s="372"/>
      <c r="J84" s="362"/>
      <c r="K84" s="372"/>
      <c r="L84" s="362"/>
      <c r="M84" s="372"/>
      <c r="N84" s="362"/>
      <c r="O84" s="367" t="s">
        <v>84</v>
      </c>
      <c r="P84" s="364"/>
      <c r="Q84" s="82">
        <f>IF(O75=0,"",O74/O75*100)</f>
        <v>0</v>
      </c>
    </row>
    <row r="85" spans="1:17" ht="17.399999999999999">
      <c r="A85" s="389" t="s">
        <v>85</v>
      </c>
      <c r="B85" s="369"/>
      <c r="C85" s="390"/>
      <c r="D85" s="369"/>
      <c r="E85" s="369"/>
      <c r="F85" s="369"/>
      <c r="G85" s="369"/>
      <c r="H85" s="369"/>
      <c r="I85" s="369"/>
      <c r="J85" s="369"/>
      <c r="K85" s="369"/>
      <c r="L85" s="369"/>
      <c r="M85" s="368" t="s">
        <v>86</v>
      </c>
      <c r="N85" s="369"/>
      <c r="O85" s="369"/>
      <c r="P85" s="369"/>
      <c r="Q85" s="369"/>
    </row>
  </sheetData>
  <mergeCells count="109">
    <mergeCell ref="A84:B84"/>
    <mergeCell ref="C84:D84"/>
    <mergeCell ref="E84:F84"/>
    <mergeCell ref="G84:H84"/>
    <mergeCell ref="I84:J84"/>
    <mergeCell ref="K84:L84"/>
    <mergeCell ref="A85:B85"/>
    <mergeCell ref="C85:L85"/>
    <mergeCell ref="A72:B72"/>
    <mergeCell ref="A73:A83"/>
    <mergeCell ref="E73:F73"/>
    <mergeCell ref="G73:H73"/>
    <mergeCell ref="K74:L74"/>
    <mergeCell ref="K78:L78"/>
    <mergeCell ref="C79:D79"/>
    <mergeCell ref="E79:F79"/>
    <mergeCell ref="G79:H79"/>
    <mergeCell ref="I79:J79"/>
    <mergeCell ref="K79:L79"/>
    <mergeCell ref="C80:D80"/>
    <mergeCell ref="E80:F80"/>
    <mergeCell ref="G80:H80"/>
    <mergeCell ref="I80:J80"/>
    <mergeCell ref="K80:L80"/>
    <mergeCell ref="C81:D81"/>
    <mergeCell ref="E81:F81"/>
    <mergeCell ref="G81:H81"/>
    <mergeCell ref="I81:J81"/>
    <mergeCell ref="K81:L81"/>
    <mergeCell ref="C82:D82"/>
    <mergeCell ref="E82:F82"/>
    <mergeCell ref="G82:H82"/>
    <mergeCell ref="M76:N76"/>
    <mergeCell ref="O76:Q76"/>
    <mergeCell ref="O77:Q77"/>
    <mergeCell ref="K82:L82"/>
    <mergeCell ref="C83:D83"/>
    <mergeCell ref="E83:F83"/>
    <mergeCell ref="G83:H83"/>
    <mergeCell ref="I83:J83"/>
    <mergeCell ref="K83:L83"/>
    <mergeCell ref="I82:J82"/>
    <mergeCell ref="M73:N73"/>
    <mergeCell ref="O73:Q73"/>
    <mergeCell ref="C74:D74"/>
    <mergeCell ref="E74:F74"/>
    <mergeCell ref="G74:H74"/>
    <mergeCell ref="I74:J74"/>
    <mergeCell ref="M74:N74"/>
    <mergeCell ref="O74:Q74"/>
    <mergeCell ref="E75:F75"/>
    <mergeCell ref="G75:H75"/>
    <mergeCell ref="M75:N75"/>
    <mergeCell ref="O75:Q75"/>
    <mergeCell ref="A1:Q1"/>
    <mergeCell ref="A2:D2"/>
    <mergeCell ref="E2:J2"/>
    <mergeCell ref="K2:Q2"/>
    <mergeCell ref="A3:B3"/>
    <mergeCell ref="C3:D3"/>
    <mergeCell ref="E3:J3"/>
    <mergeCell ref="M5:N5"/>
    <mergeCell ref="O5:P5"/>
    <mergeCell ref="K3:Q3"/>
    <mergeCell ref="A4:Q4"/>
    <mergeCell ref="A5:A7"/>
    <mergeCell ref="B5:B7"/>
    <mergeCell ref="C5:D5"/>
    <mergeCell ref="E5:F5"/>
    <mergeCell ref="G5:H5"/>
    <mergeCell ref="Q5:Q7"/>
    <mergeCell ref="I5:J5"/>
    <mergeCell ref="K5:L5"/>
    <mergeCell ref="M77:N77"/>
    <mergeCell ref="M78:N78"/>
    <mergeCell ref="O78:Q78"/>
    <mergeCell ref="M79:N79"/>
    <mergeCell ref="O79:Q79"/>
    <mergeCell ref="M80:N80"/>
    <mergeCell ref="O80:Q80"/>
    <mergeCell ref="O84:P84"/>
    <mergeCell ref="M85:Q85"/>
    <mergeCell ref="M81:N81"/>
    <mergeCell ref="O81:Q81"/>
    <mergeCell ref="M82:N82"/>
    <mergeCell ref="O82:Q82"/>
    <mergeCell ref="M83:N83"/>
    <mergeCell ref="O83:Q83"/>
    <mergeCell ref="M84:N84"/>
    <mergeCell ref="C77:D77"/>
    <mergeCell ref="E77:F77"/>
    <mergeCell ref="G77:H77"/>
    <mergeCell ref="I77:J77"/>
    <mergeCell ref="K77:L77"/>
    <mergeCell ref="C78:D78"/>
    <mergeCell ref="E78:F78"/>
    <mergeCell ref="G78:H78"/>
    <mergeCell ref="I78:J78"/>
    <mergeCell ref="C73:D73"/>
    <mergeCell ref="C75:D75"/>
    <mergeCell ref="I75:J75"/>
    <mergeCell ref="K75:L75"/>
    <mergeCell ref="C76:D76"/>
    <mergeCell ref="E76:F76"/>
    <mergeCell ref="G76:H76"/>
    <mergeCell ref="I76:J76"/>
    <mergeCell ref="K76:L76"/>
    <mergeCell ref="I73:J73"/>
    <mergeCell ref="K73:L7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76"/>
  <sheetViews>
    <sheetView workbookViewId="0"/>
  </sheetViews>
  <sheetFormatPr defaultColWidth="12.6640625" defaultRowHeight="15.75" customHeight="1"/>
  <cols>
    <col min="2" max="2" width="28.21875" customWidth="1"/>
  </cols>
  <sheetData>
    <row r="1" spans="1:17" ht="30">
      <c r="A1" s="392" t="s">
        <v>87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</row>
    <row r="2" spans="1:17" ht="22.8">
      <c r="A2" s="373" t="s">
        <v>0</v>
      </c>
      <c r="B2" s="366"/>
      <c r="C2" s="366"/>
      <c r="D2" s="366"/>
      <c r="E2" s="374" t="s">
        <v>1</v>
      </c>
      <c r="F2" s="366"/>
      <c r="G2" s="366"/>
      <c r="H2" s="366"/>
      <c r="I2" s="366"/>
      <c r="J2" s="366"/>
      <c r="K2" s="375" t="s">
        <v>2</v>
      </c>
      <c r="L2" s="366"/>
      <c r="M2" s="366"/>
      <c r="N2" s="366"/>
      <c r="O2" s="366"/>
      <c r="P2" s="366"/>
      <c r="Q2" s="366"/>
    </row>
    <row r="3" spans="1:17" ht="22.8">
      <c r="A3" s="383" t="s">
        <v>141</v>
      </c>
      <c r="B3" s="366"/>
      <c r="C3" s="374" t="s">
        <v>285</v>
      </c>
      <c r="D3" s="366"/>
      <c r="E3" s="374" t="s">
        <v>4</v>
      </c>
      <c r="F3" s="366"/>
      <c r="G3" s="366"/>
      <c r="H3" s="366"/>
      <c r="I3" s="366"/>
      <c r="J3" s="366"/>
      <c r="K3" s="374" t="s">
        <v>5</v>
      </c>
      <c r="L3" s="366"/>
      <c r="M3" s="366"/>
      <c r="N3" s="366"/>
      <c r="O3" s="366"/>
      <c r="P3" s="366"/>
      <c r="Q3" s="366"/>
    </row>
    <row r="4" spans="1:17" ht="18">
      <c r="A4" s="377" t="s">
        <v>286</v>
      </c>
      <c r="B4" s="378"/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8"/>
      <c r="O4" s="378"/>
      <c r="P4" s="378"/>
      <c r="Q4" s="378"/>
    </row>
    <row r="5" spans="1:17" ht="13.2">
      <c r="A5" s="384" t="s">
        <v>7</v>
      </c>
      <c r="B5" s="385" t="s">
        <v>8</v>
      </c>
      <c r="C5" s="379" t="s">
        <v>9</v>
      </c>
      <c r="D5" s="360"/>
      <c r="E5" s="379" t="s">
        <v>10</v>
      </c>
      <c r="F5" s="360"/>
      <c r="G5" s="379" t="s">
        <v>11</v>
      </c>
      <c r="H5" s="360"/>
      <c r="I5" s="379" t="s">
        <v>12</v>
      </c>
      <c r="J5" s="360"/>
      <c r="K5" s="379" t="s">
        <v>13</v>
      </c>
      <c r="L5" s="360"/>
      <c r="M5" s="379" t="s">
        <v>14</v>
      </c>
      <c r="N5" s="360"/>
      <c r="O5" s="367" t="s">
        <v>15</v>
      </c>
      <c r="P5" s="362"/>
      <c r="Q5" s="380" t="s">
        <v>16</v>
      </c>
    </row>
    <row r="6" spans="1:17" ht="13.2">
      <c r="A6" s="381"/>
      <c r="B6" s="381"/>
      <c r="C6" s="4" t="s">
        <v>17</v>
      </c>
      <c r="D6" s="5">
        <v>40</v>
      </c>
      <c r="E6" s="4" t="s">
        <v>17</v>
      </c>
      <c r="F6" s="5">
        <v>40</v>
      </c>
      <c r="G6" s="4" t="s">
        <v>17</v>
      </c>
      <c r="H6" s="5">
        <v>40</v>
      </c>
      <c r="I6" s="4" t="s">
        <v>17</v>
      </c>
      <c r="J6" s="5">
        <v>40</v>
      </c>
      <c r="K6" s="4" t="s">
        <v>17</v>
      </c>
      <c r="L6" s="5">
        <v>40</v>
      </c>
      <c r="M6" s="4" t="s">
        <v>17</v>
      </c>
      <c r="N6" s="5">
        <v>40</v>
      </c>
      <c r="O6" s="4" t="s">
        <v>17</v>
      </c>
      <c r="P6" s="5">
        <v>600</v>
      </c>
      <c r="Q6" s="381"/>
    </row>
    <row r="7" spans="1:17" ht="13.8">
      <c r="A7" s="382"/>
      <c r="B7" s="382"/>
      <c r="C7" s="6" t="s">
        <v>18</v>
      </c>
      <c r="D7" s="6" t="s">
        <v>19</v>
      </c>
      <c r="E7" s="6" t="s">
        <v>18</v>
      </c>
      <c r="F7" s="6" t="s">
        <v>19</v>
      </c>
      <c r="G7" s="6" t="s">
        <v>18</v>
      </c>
      <c r="H7" s="6" t="s">
        <v>19</v>
      </c>
      <c r="I7" s="6" t="s">
        <v>18</v>
      </c>
      <c r="J7" s="6" t="s">
        <v>19</v>
      </c>
      <c r="K7" s="6" t="s">
        <v>18</v>
      </c>
      <c r="L7" s="6" t="s">
        <v>19</v>
      </c>
      <c r="M7" s="6" t="s">
        <v>18</v>
      </c>
      <c r="N7" s="6" t="s">
        <v>19</v>
      </c>
      <c r="O7" s="6" t="s">
        <v>18</v>
      </c>
      <c r="P7" s="6" t="s">
        <v>19</v>
      </c>
      <c r="Q7" s="382"/>
    </row>
    <row r="8" spans="1:17" ht="17.399999999999999">
      <c r="A8" s="134">
        <v>1</v>
      </c>
      <c r="B8" s="135" t="s">
        <v>287</v>
      </c>
      <c r="C8" s="46">
        <v>22</v>
      </c>
      <c r="D8" s="136">
        <f t="shared" ref="D8:D52" si="0">IF(C8="","",IF(C8="AB",AB,IF(C8="TC","TC",(C8/D$6)*100)))</f>
        <v>55.000000000000007</v>
      </c>
      <c r="E8" s="120">
        <v>28</v>
      </c>
      <c r="F8" s="136">
        <f t="shared" ref="F8:F52" si="1">IF(E8="","",IF(E8="AB",AB,IF(E8="TC","TC",(E8/F$6)*100)))</f>
        <v>70</v>
      </c>
      <c r="G8" s="6">
        <v>16</v>
      </c>
      <c r="H8" s="137">
        <f t="shared" ref="H8:H52" si="2">IF(G8="","",IF(G8="AB",AB,IF(G8="TC","TC",(G8/H$6)*100)))</f>
        <v>40</v>
      </c>
      <c r="I8" s="46">
        <v>23</v>
      </c>
      <c r="J8" s="138">
        <f t="shared" ref="J8:J52" si="3">IF(I8="","",IF(I8="AB",AB,IF(I8="TC","TC",(I8/J$6)*100)))</f>
        <v>57.499999999999993</v>
      </c>
      <c r="K8" s="136">
        <v>24</v>
      </c>
      <c r="L8" s="138">
        <f t="shared" ref="L8:L31" si="4">IF(K8="","",IF(K8="AB",AB,IF(K8="TC","TC",(K8/L$6)*100)))</f>
        <v>60</v>
      </c>
      <c r="M8" s="136">
        <v>23</v>
      </c>
      <c r="N8" s="138">
        <f t="shared" ref="N8:N52" si="5">IF(M8="","",IF(M8="AB",AB,IF(M8="TC","TC",(M8/N$6)*100)))</f>
        <v>57.499999999999993</v>
      </c>
      <c r="O8" s="136">
        <f t="shared" ref="O8:O44" si="6">SUM(D8,F8,H8,J8,L8,N8)</f>
        <v>340</v>
      </c>
      <c r="P8" s="42">
        <f t="shared" ref="P8:P44" si="7">IF(O8="","",IF(O8="AB","AB",(O8/P$6)*100))</f>
        <v>56.666666666666664</v>
      </c>
      <c r="Q8" s="46" t="str">
        <f t="shared" ref="Q8:Q51" si="8">IF(P8=0,"",IF(T8="FAIL","FAIL","PASS"))</f>
        <v>PASS</v>
      </c>
    </row>
    <row r="9" spans="1:17" ht="17.399999999999999">
      <c r="A9" s="134">
        <v>2</v>
      </c>
      <c r="B9" s="135" t="s">
        <v>288</v>
      </c>
      <c r="C9" s="46">
        <v>36</v>
      </c>
      <c r="D9" s="136">
        <f t="shared" si="0"/>
        <v>90</v>
      </c>
      <c r="E9" s="60">
        <v>33</v>
      </c>
      <c r="F9" s="136">
        <f t="shared" si="1"/>
        <v>82.5</v>
      </c>
      <c r="G9" s="139">
        <v>23</v>
      </c>
      <c r="H9" s="140">
        <f t="shared" si="2"/>
        <v>57.499999999999993</v>
      </c>
      <c r="I9" s="46">
        <v>34</v>
      </c>
      <c r="J9" s="138">
        <f t="shared" si="3"/>
        <v>85</v>
      </c>
      <c r="K9" s="136">
        <v>32</v>
      </c>
      <c r="L9" s="138">
        <f t="shared" si="4"/>
        <v>80</v>
      </c>
      <c r="M9" s="136">
        <v>32</v>
      </c>
      <c r="N9" s="138">
        <f t="shared" si="5"/>
        <v>80</v>
      </c>
      <c r="O9" s="136">
        <f t="shared" si="6"/>
        <v>475</v>
      </c>
      <c r="P9" s="42">
        <f t="shared" si="7"/>
        <v>79.166666666666657</v>
      </c>
      <c r="Q9" s="46" t="str">
        <f t="shared" si="8"/>
        <v>PASS</v>
      </c>
    </row>
    <row r="10" spans="1:17" ht="17.399999999999999">
      <c r="A10" s="134">
        <v>3</v>
      </c>
      <c r="B10" s="135" t="s">
        <v>289</v>
      </c>
      <c r="C10" s="46">
        <v>35</v>
      </c>
      <c r="D10" s="136">
        <f t="shared" si="0"/>
        <v>87.5</v>
      </c>
      <c r="E10" s="60">
        <v>34</v>
      </c>
      <c r="F10" s="136">
        <f t="shared" si="1"/>
        <v>85</v>
      </c>
      <c r="G10" s="139">
        <v>37</v>
      </c>
      <c r="H10" s="140">
        <f t="shared" si="2"/>
        <v>92.5</v>
      </c>
      <c r="I10" s="46">
        <v>37</v>
      </c>
      <c r="J10" s="138">
        <f t="shared" si="3"/>
        <v>92.5</v>
      </c>
      <c r="K10" s="136">
        <v>38</v>
      </c>
      <c r="L10" s="138">
        <f t="shared" si="4"/>
        <v>95</v>
      </c>
      <c r="M10" s="136">
        <v>36</v>
      </c>
      <c r="N10" s="138">
        <f t="shared" si="5"/>
        <v>90</v>
      </c>
      <c r="O10" s="136">
        <f t="shared" si="6"/>
        <v>542.5</v>
      </c>
      <c r="P10" s="42">
        <f t="shared" si="7"/>
        <v>90.416666666666671</v>
      </c>
      <c r="Q10" s="46" t="str">
        <f t="shared" si="8"/>
        <v>PASS</v>
      </c>
    </row>
    <row r="11" spans="1:17" ht="17.399999999999999">
      <c r="A11" s="134">
        <v>4</v>
      </c>
      <c r="B11" s="135" t="s">
        <v>290</v>
      </c>
      <c r="C11" s="46">
        <v>29</v>
      </c>
      <c r="D11" s="136">
        <f t="shared" si="0"/>
        <v>72.5</v>
      </c>
      <c r="E11" s="60">
        <v>29</v>
      </c>
      <c r="F11" s="136">
        <f t="shared" si="1"/>
        <v>72.5</v>
      </c>
      <c r="G11" s="139">
        <v>21</v>
      </c>
      <c r="H11" s="140">
        <f t="shared" si="2"/>
        <v>52.5</v>
      </c>
      <c r="I11" s="46">
        <v>35</v>
      </c>
      <c r="J11" s="138">
        <f t="shared" si="3"/>
        <v>87.5</v>
      </c>
      <c r="K11" s="136">
        <v>36</v>
      </c>
      <c r="L11" s="138">
        <f t="shared" si="4"/>
        <v>90</v>
      </c>
      <c r="M11" s="136">
        <v>35</v>
      </c>
      <c r="N11" s="138">
        <f t="shared" si="5"/>
        <v>87.5</v>
      </c>
      <c r="O11" s="136">
        <f t="shared" si="6"/>
        <v>462.5</v>
      </c>
      <c r="P11" s="42">
        <f t="shared" si="7"/>
        <v>77.083333333333343</v>
      </c>
      <c r="Q11" s="46" t="str">
        <f t="shared" si="8"/>
        <v>PASS</v>
      </c>
    </row>
    <row r="12" spans="1:17" ht="17.399999999999999">
      <c r="A12" s="134">
        <v>5</v>
      </c>
      <c r="B12" s="135" t="s">
        <v>291</v>
      </c>
      <c r="C12" s="46">
        <v>30</v>
      </c>
      <c r="D12" s="136">
        <f t="shared" si="0"/>
        <v>75</v>
      </c>
      <c r="E12" s="60">
        <v>25</v>
      </c>
      <c r="F12" s="136">
        <f t="shared" si="1"/>
        <v>62.5</v>
      </c>
      <c r="G12" s="139">
        <v>13</v>
      </c>
      <c r="H12" s="140">
        <f t="shared" si="2"/>
        <v>32.5</v>
      </c>
      <c r="I12" s="46">
        <v>27</v>
      </c>
      <c r="J12" s="138">
        <f t="shared" si="3"/>
        <v>67.5</v>
      </c>
      <c r="K12" s="136">
        <v>25</v>
      </c>
      <c r="L12" s="138">
        <f t="shared" si="4"/>
        <v>62.5</v>
      </c>
      <c r="M12" s="136">
        <v>25</v>
      </c>
      <c r="N12" s="138">
        <f t="shared" si="5"/>
        <v>62.5</v>
      </c>
      <c r="O12" s="136">
        <f t="shared" si="6"/>
        <v>362.5</v>
      </c>
      <c r="P12" s="42">
        <f t="shared" si="7"/>
        <v>60.416666666666664</v>
      </c>
      <c r="Q12" s="46" t="str">
        <f t="shared" si="8"/>
        <v>PASS</v>
      </c>
    </row>
    <row r="13" spans="1:17" ht="17.399999999999999">
      <c r="A13" s="134">
        <v>6</v>
      </c>
      <c r="B13" s="135" t="s">
        <v>292</v>
      </c>
      <c r="C13" s="46">
        <v>26</v>
      </c>
      <c r="D13" s="136">
        <f t="shared" si="0"/>
        <v>65</v>
      </c>
      <c r="E13" s="60">
        <v>20</v>
      </c>
      <c r="F13" s="136">
        <f t="shared" si="1"/>
        <v>50</v>
      </c>
      <c r="G13" s="139">
        <v>13</v>
      </c>
      <c r="H13" s="140">
        <f t="shared" si="2"/>
        <v>32.5</v>
      </c>
      <c r="I13" s="46">
        <v>17</v>
      </c>
      <c r="J13" s="138">
        <f t="shared" si="3"/>
        <v>42.5</v>
      </c>
      <c r="K13" s="136">
        <v>18</v>
      </c>
      <c r="L13" s="141">
        <f t="shared" si="4"/>
        <v>45</v>
      </c>
      <c r="M13" s="136">
        <v>19</v>
      </c>
      <c r="N13" s="141">
        <f t="shared" si="5"/>
        <v>47.5</v>
      </c>
      <c r="O13" s="136">
        <f t="shared" si="6"/>
        <v>282.5</v>
      </c>
      <c r="P13" s="42">
        <f t="shared" si="7"/>
        <v>47.083333333333336</v>
      </c>
      <c r="Q13" s="46" t="str">
        <f t="shared" si="8"/>
        <v>PASS</v>
      </c>
    </row>
    <row r="14" spans="1:17" ht="17.399999999999999">
      <c r="A14" s="134">
        <v>7</v>
      </c>
      <c r="B14" s="135" t="s">
        <v>293</v>
      </c>
      <c r="C14" s="46">
        <v>38</v>
      </c>
      <c r="D14" s="136">
        <f t="shared" si="0"/>
        <v>95</v>
      </c>
      <c r="E14" s="60">
        <v>22</v>
      </c>
      <c r="F14" s="136">
        <f t="shared" si="1"/>
        <v>55.000000000000007</v>
      </c>
      <c r="G14" s="139">
        <v>35</v>
      </c>
      <c r="H14" s="140">
        <f t="shared" si="2"/>
        <v>87.5</v>
      </c>
      <c r="I14" s="46">
        <v>35</v>
      </c>
      <c r="J14" s="138">
        <f t="shared" si="3"/>
        <v>87.5</v>
      </c>
      <c r="K14" s="46">
        <v>32</v>
      </c>
      <c r="L14" s="138">
        <f t="shared" si="4"/>
        <v>80</v>
      </c>
      <c r="M14" s="136">
        <v>34</v>
      </c>
      <c r="N14" s="138">
        <f t="shared" si="5"/>
        <v>85</v>
      </c>
      <c r="O14" s="136">
        <f t="shared" si="6"/>
        <v>490</v>
      </c>
      <c r="P14" s="42">
        <f t="shared" si="7"/>
        <v>81.666666666666671</v>
      </c>
      <c r="Q14" s="46" t="str">
        <f t="shared" si="8"/>
        <v>PASS</v>
      </c>
    </row>
    <row r="15" spans="1:17" ht="17.399999999999999">
      <c r="A15" s="134">
        <v>8</v>
      </c>
      <c r="B15" s="135" t="s">
        <v>294</v>
      </c>
      <c r="C15" s="46">
        <v>20</v>
      </c>
      <c r="D15" s="136">
        <f t="shared" si="0"/>
        <v>50</v>
      </c>
      <c r="E15" s="60">
        <v>23</v>
      </c>
      <c r="F15" s="142">
        <f t="shared" si="1"/>
        <v>57.499999999999993</v>
      </c>
      <c r="G15" s="139">
        <v>13</v>
      </c>
      <c r="H15" s="137">
        <f t="shared" si="2"/>
        <v>32.5</v>
      </c>
      <c r="I15" s="46">
        <v>18</v>
      </c>
      <c r="J15" s="138">
        <f t="shared" si="3"/>
        <v>45</v>
      </c>
      <c r="K15" s="46">
        <v>23</v>
      </c>
      <c r="L15" s="138">
        <f t="shared" si="4"/>
        <v>57.499999999999993</v>
      </c>
      <c r="M15" s="136">
        <v>23</v>
      </c>
      <c r="N15" s="141">
        <f t="shared" si="5"/>
        <v>57.499999999999993</v>
      </c>
      <c r="O15" s="136">
        <f t="shared" si="6"/>
        <v>300</v>
      </c>
      <c r="P15" s="42">
        <f t="shared" si="7"/>
        <v>50</v>
      </c>
      <c r="Q15" s="46" t="str">
        <f t="shared" si="8"/>
        <v>PASS</v>
      </c>
    </row>
    <row r="16" spans="1:17" ht="18">
      <c r="A16" s="134">
        <v>9</v>
      </c>
      <c r="B16" s="135" t="s">
        <v>295</v>
      </c>
      <c r="C16" s="41">
        <v>32</v>
      </c>
      <c r="D16" s="136">
        <f t="shared" si="0"/>
        <v>80</v>
      </c>
      <c r="E16" s="60">
        <v>20</v>
      </c>
      <c r="F16" s="136">
        <f t="shared" si="1"/>
        <v>50</v>
      </c>
      <c r="G16" s="139">
        <v>30</v>
      </c>
      <c r="H16" s="140">
        <f t="shared" si="2"/>
        <v>75</v>
      </c>
      <c r="I16" s="46">
        <v>37</v>
      </c>
      <c r="J16" s="138">
        <f t="shared" si="3"/>
        <v>92.5</v>
      </c>
      <c r="K16" s="136">
        <v>37</v>
      </c>
      <c r="L16" s="138">
        <f t="shared" si="4"/>
        <v>92.5</v>
      </c>
      <c r="M16" s="136">
        <v>33</v>
      </c>
      <c r="N16" s="138">
        <f t="shared" si="5"/>
        <v>82.5</v>
      </c>
      <c r="O16" s="136">
        <f t="shared" si="6"/>
        <v>472.5</v>
      </c>
      <c r="P16" s="42">
        <f t="shared" si="7"/>
        <v>78.75</v>
      </c>
      <c r="Q16" s="46" t="str">
        <f t="shared" si="8"/>
        <v>PASS</v>
      </c>
    </row>
    <row r="17" spans="1:17" ht="17.399999999999999">
      <c r="A17" s="134">
        <v>10</v>
      </c>
      <c r="B17" s="135" t="s">
        <v>296</v>
      </c>
      <c r="C17" s="46">
        <v>32</v>
      </c>
      <c r="D17" s="136">
        <f t="shared" si="0"/>
        <v>80</v>
      </c>
      <c r="E17" s="60">
        <v>20</v>
      </c>
      <c r="F17" s="136">
        <f t="shared" si="1"/>
        <v>50</v>
      </c>
      <c r="G17" s="139">
        <v>24</v>
      </c>
      <c r="H17" s="140">
        <f t="shared" si="2"/>
        <v>60</v>
      </c>
      <c r="I17" s="46">
        <v>29</v>
      </c>
      <c r="J17" s="138">
        <f t="shared" si="3"/>
        <v>72.5</v>
      </c>
      <c r="K17" s="136">
        <v>27</v>
      </c>
      <c r="L17" s="138">
        <f t="shared" si="4"/>
        <v>67.5</v>
      </c>
      <c r="M17" s="136">
        <v>22</v>
      </c>
      <c r="N17" s="141">
        <f t="shared" si="5"/>
        <v>55.000000000000007</v>
      </c>
      <c r="O17" s="136">
        <f t="shared" si="6"/>
        <v>385</v>
      </c>
      <c r="P17" s="42">
        <f t="shared" si="7"/>
        <v>64.166666666666671</v>
      </c>
      <c r="Q17" s="46" t="str">
        <f t="shared" si="8"/>
        <v>PASS</v>
      </c>
    </row>
    <row r="18" spans="1:17" ht="17.399999999999999">
      <c r="A18" s="134">
        <v>11</v>
      </c>
      <c r="B18" s="135" t="s">
        <v>297</v>
      </c>
      <c r="C18" s="46">
        <v>30</v>
      </c>
      <c r="D18" s="136">
        <f t="shared" si="0"/>
        <v>75</v>
      </c>
      <c r="E18" s="60">
        <v>20</v>
      </c>
      <c r="F18" s="136">
        <f t="shared" si="1"/>
        <v>50</v>
      </c>
      <c r="G18" s="139">
        <v>20</v>
      </c>
      <c r="H18" s="140">
        <f t="shared" si="2"/>
        <v>50</v>
      </c>
      <c r="I18" s="46">
        <v>30</v>
      </c>
      <c r="J18" s="138">
        <f t="shared" si="3"/>
        <v>75</v>
      </c>
      <c r="K18" s="136">
        <v>31</v>
      </c>
      <c r="L18" s="138">
        <f t="shared" si="4"/>
        <v>77.5</v>
      </c>
      <c r="M18" s="136">
        <v>27</v>
      </c>
      <c r="N18" s="138">
        <f t="shared" si="5"/>
        <v>67.5</v>
      </c>
      <c r="O18" s="136">
        <f t="shared" si="6"/>
        <v>395</v>
      </c>
      <c r="P18" s="42">
        <f t="shared" si="7"/>
        <v>65.833333333333329</v>
      </c>
      <c r="Q18" s="46" t="str">
        <f t="shared" si="8"/>
        <v>PASS</v>
      </c>
    </row>
    <row r="19" spans="1:17" ht="17.399999999999999">
      <c r="A19" s="134">
        <v>12</v>
      </c>
      <c r="B19" s="135" t="s">
        <v>298</v>
      </c>
      <c r="C19" s="46">
        <v>38</v>
      </c>
      <c r="D19" s="136">
        <f t="shared" si="0"/>
        <v>95</v>
      </c>
      <c r="E19" s="60">
        <v>37</v>
      </c>
      <c r="F19" s="136">
        <f t="shared" si="1"/>
        <v>92.5</v>
      </c>
      <c r="G19" s="139">
        <v>35</v>
      </c>
      <c r="H19" s="140">
        <f t="shared" si="2"/>
        <v>87.5</v>
      </c>
      <c r="I19" s="46">
        <v>36</v>
      </c>
      <c r="J19" s="138">
        <f t="shared" si="3"/>
        <v>90</v>
      </c>
      <c r="K19" s="136">
        <v>35</v>
      </c>
      <c r="L19" s="138">
        <f t="shared" si="4"/>
        <v>87.5</v>
      </c>
      <c r="M19" s="136">
        <v>29</v>
      </c>
      <c r="N19" s="138">
        <f t="shared" si="5"/>
        <v>72.5</v>
      </c>
      <c r="O19" s="136">
        <f t="shared" si="6"/>
        <v>525</v>
      </c>
      <c r="P19" s="42">
        <f t="shared" si="7"/>
        <v>87.5</v>
      </c>
      <c r="Q19" s="46" t="str">
        <f t="shared" si="8"/>
        <v>PASS</v>
      </c>
    </row>
    <row r="20" spans="1:17" ht="17.399999999999999">
      <c r="A20" s="134">
        <v>13</v>
      </c>
      <c r="B20" s="135" t="s">
        <v>299</v>
      </c>
      <c r="C20" s="46">
        <v>37</v>
      </c>
      <c r="D20" s="136">
        <f t="shared" si="0"/>
        <v>92.5</v>
      </c>
      <c r="E20" s="60">
        <v>27</v>
      </c>
      <c r="F20" s="136">
        <f t="shared" si="1"/>
        <v>67.5</v>
      </c>
      <c r="G20" s="139">
        <v>21</v>
      </c>
      <c r="H20" s="140">
        <f t="shared" si="2"/>
        <v>52.5</v>
      </c>
      <c r="I20" s="46">
        <v>32</v>
      </c>
      <c r="J20" s="138">
        <f t="shared" si="3"/>
        <v>80</v>
      </c>
      <c r="K20" s="136">
        <v>28</v>
      </c>
      <c r="L20" s="138">
        <f t="shared" si="4"/>
        <v>70</v>
      </c>
      <c r="M20" s="136">
        <v>29</v>
      </c>
      <c r="N20" s="138">
        <f t="shared" si="5"/>
        <v>72.5</v>
      </c>
      <c r="O20" s="136">
        <f t="shared" si="6"/>
        <v>435</v>
      </c>
      <c r="P20" s="42">
        <f t="shared" si="7"/>
        <v>72.5</v>
      </c>
      <c r="Q20" s="46" t="str">
        <f t="shared" si="8"/>
        <v>PASS</v>
      </c>
    </row>
    <row r="21" spans="1:17" ht="17.399999999999999">
      <c r="A21" s="134">
        <v>14</v>
      </c>
      <c r="B21" s="135" t="s">
        <v>300</v>
      </c>
      <c r="C21" s="46">
        <v>32</v>
      </c>
      <c r="D21" s="136">
        <f t="shared" si="0"/>
        <v>80</v>
      </c>
      <c r="E21" s="60">
        <v>31</v>
      </c>
      <c r="F21" s="136">
        <f t="shared" si="1"/>
        <v>77.5</v>
      </c>
      <c r="G21" s="139">
        <v>31</v>
      </c>
      <c r="H21" s="140">
        <f t="shared" si="2"/>
        <v>77.5</v>
      </c>
      <c r="I21" s="46">
        <v>33</v>
      </c>
      <c r="J21" s="138">
        <f t="shared" si="3"/>
        <v>82.5</v>
      </c>
      <c r="K21" s="136">
        <v>34</v>
      </c>
      <c r="L21" s="138">
        <f t="shared" si="4"/>
        <v>85</v>
      </c>
      <c r="M21" s="136">
        <v>31</v>
      </c>
      <c r="N21" s="138">
        <f t="shared" si="5"/>
        <v>77.5</v>
      </c>
      <c r="O21" s="136">
        <f t="shared" si="6"/>
        <v>480</v>
      </c>
      <c r="P21" s="42">
        <f t="shared" si="7"/>
        <v>80</v>
      </c>
      <c r="Q21" s="46" t="str">
        <f t="shared" si="8"/>
        <v>PASS</v>
      </c>
    </row>
    <row r="22" spans="1:17" ht="17.399999999999999">
      <c r="A22" s="134">
        <v>15</v>
      </c>
      <c r="B22" s="135" t="s">
        <v>301</v>
      </c>
      <c r="C22" s="46">
        <v>22</v>
      </c>
      <c r="D22" s="136">
        <f t="shared" si="0"/>
        <v>55.000000000000007</v>
      </c>
      <c r="E22" s="60">
        <v>20</v>
      </c>
      <c r="F22" s="136">
        <f t="shared" si="1"/>
        <v>50</v>
      </c>
      <c r="G22" s="139">
        <v>20</v>
      </c>
      <c r="H22" s="137">
        <f t="shared" si="2"/>
        <v>50</v>
      </c>
      <c r="I22" s="46">
        <v>28</v>
      </c>
      <c r="J22" s="138">
        <f t="shared" si="3"/>
        <v>70</v>
      </c>
      <c r="K22" s="136">
        <v>23</v>
      </c>
      <c r="L22" s="141">
        <f t="shared" si="4"/>
        <v>57.499999999999993</v>
      </c>
      <c r="M22" s="136">
        <v>11</v>
      </c>
      <c r="N22" s="141">
        <f t="shared" si="5"/>
        <v>27.500000000000004</v>
      </c>
      <c r="O22" s="136">
        <f t="shared" si="6"/>
        <v>310</v>
      </c>
      <c r="P22" s="42">
        <f t="shared" si="7"/>
        <v>51.666666666666671</v>
      </c>
      <c r="Q22" s="46" t="str">
        <f t="shared" si="8"/>
        <v>PASS</v>
      </c>
    </row>
    <row r="23" spans="1:17" ht="17.399999999999999">
      <c r="A23" s="134">
        <v>16</v>
      </c>
      <c r="B23" s="135" t="s">
        <v>302</v>
      </c>
      <c r="C23" s="46">
        <v>21</v>
      </c>
      <c r="D23" s="136">
        <f t="shared" si="0"/>
        <v>52.5</v>
      </c>
      <c r="E23" s="60">
        <v>21</v>
      </c>
      <c r="F23" s="136">
        <f t="shared" si="1"/>
        <v>52.5</v>
      </c>
      <c r="G23" s="143">
        <v>13</v>
      </c>
      <c r="H23" s="137">
        <f t="shared" si="2"/>
        <v>32.5</v>
      </c>
      <c r="I23" s="46">
        <v>16</v>
      </c>
      <c r="J23" s="138">
        <f t="shared" si="3"/>
        <v>40</v>
      </c>
      <c r="K23" s="136">
        <v>24</v>
      </c>
      <c r="L23" s="141">
        <f t="shared" si="4"/>
        <v>60</v>
      </c>
      <c r="M23" s="136">
        <v>18</v>
      </c>
      <c r="N23" s="141">
        <f t="shared" si="5"/>
        <v>45</v>
      </c>
      <c r="O23" s="136">
        <f t="shared" si="6"/>
        <v>282.5</v>
      </c>
      <c r="P23" s="42">
        <f t="shared" si="7"/>
        <v>47.083333333333336</v>
      </c>
      <c r="Q23" s="46" t="str">
        <f t="shared" si="8"/>
        <v>PASS</v>
      </c>
    </row>
    <row r="24" spans="1:17" ht="17.399999999999999">
      <c r="A24" s="134">
        <v>17</v>
      </c>
      <c r="B24" s="135" t="s">
        <v>303</v>
      </c>
      <c r="C24" s="46">
        <v>37</v>
      </c>
      <c r="D24" s="136">
        <f t="shared" si="0"/>
        <v>92.5</v>
      </c>
      <c r="E24" s="60">
        <v>37</v>
      </c>
      <c r="F24" s="136">
        <f t="shared" si="1"/>
        <v>92.5</v>
      </c>
      <c r="G24" s="139">
        <v>35</v>
      </c>
      <c r="H24" s="140">
        <f t="shared" si="2"/>
        <v>87.5</v>
      </c>
      <c r="I24" s="46">
        <v>40</v>
      </c>
      <c r="J24" s="138">
        <f t="shared" si="3"/>
        <v>100</v>
      </c>
      <c r="K24" s="46">
        <v>35</v>
      </c>
      <c r="L24" s="138">
        <f t="shared" si="4"/>
        <v>87.5</v>
      </c>
      <c r="M24" s="136">
        <v>37</v>
      </c>
      <c r="N24" s="138">
        <f t="shared" si="5"/>
        <v>92.5</v>
      </c>
      <c r="O24" s="136">
        <f t="shared" si="6"/>
        <v>552.5</v>
      </c>
      <c r="P24" s="42">
        <f t="shared" si="7"/>
        <v>92.083333333333329</v>
      </c>
      <c r="Q24" s="46" t="str">
        <f t="shared" si="8"/>
        <v>PASS</v>
      </c>
    </row>
    <row r="25" spans="1:17" ht="17.399999999999999">
      <c r="A25" s="134">
        <v>18</v>
      </c>
      <c r="B25" s="135" t="s">
        <v>304</v>
      </c>
      <c r="C25" s="46">
        <v>29</v>
      </c>
      <c r="D25" s="136">
        <f t="shared" si="0"/>
        <v>72.5</v>
      </c>
      <c r="E25" s="60">
        <v>30</v>
      </c>
      <c r="F25" s="136">
        <f t="shared" si="1"/>
        <v>75</v>
      </c>
      <c r="G25" s="139">
        <v>27</v>
      </c>
      <c r="H25" s="140">
        <f t="shared" si="2"/>
        <v>67.5</v>
      </c>
      <c r="I25" s="46">
        <v>34</v>
      </c>
      <c r="J25" s="138">
        <f t="shared" si="3"/>
        <v>85</v>
      </c>
      <c r="K25" s="46">
        <v>32</v>
      </c>
      <c r="L25" s="138">
        <f t="shared" si="4"/>
        <v>80</v>
      </c>
      <c r="M25" s="136">
        <v>29</v>
      </c>
      <c r="N25" s="138">
        <f t="shared" si="5"/>
        <v>72.5</v>
      </c>
      <c r="O25" s="136">
        <f t="shared" si="6"/>
        <v>452.5</v>
      </c>
      <c r="P25" s="42">
        <f t="shared" si="7"/>
        <v>75.416666666666671</v>
      </c>
      <c r="Q25" s="46" t="str">
        <f t="shared" si="8"/>
        <v>PASS</v>
      </c>
    </row>
    <row r="26" spans="1:17" ht="17.399999999999999">
      <c r="A26" s="134">
        <v>19</v>
      </c>
      <c r="B26" s="135" t="s">
        <v>305</v>
      </c>
      <c r="C26" s="46">
        <v>39</v>
      </c>
      <c r="D26" s="136">
        <f t="shared" si="0"/>
        <v>97.5</v>
      </c>
      <c r="E26" s="60">
        <v>37</v>
      </c>
      <c r="F26" s="136">
        <f t="shared" si="1"/>
        <v>92.5</v>
      </c>
      <c r="G26" s="139">
        <v>30</v>
      </c>
      <c r="H26" s="140">
        <f t="shared" si="2"/>
        <v>75</v>
      </c>
      <c r="I26" s="46">
        <v>38</v>
      </c>
      <c r="J26" s="138">
        <f t="shared" si="3"/>
        <v>95</v>
      </c>
      <c r="K26" s="136">
        <v>39</v>
      </c>
      <c r="L26" s="138">
        <f t="shared" si="4"/>
        <v>97.5</v>
      </c>
      <c r="M26" s="136">
        <v>36</v>
      </c>
      <c r="N26" s="138">
        <f t="shared" si="5"/>
        <v>90</v>
      </c>
      <c r="O26" s="136">
        <f t="shared" si="6"/>
        <v>547.5</v>
      </c>
      <c r="P26" s="42">
        <f t="shared" si="7"/>
        <v>91.25</v>
      </c>
      <c r="Q26" s="46" t="str">
        <f t="shared" si="8"/>
        <v>PASS</v>
      </c>
    </row>
    <row r="27" spans="1:17" ht="17.399999999999999">
      <c r="A27" s="134">
        <v>20</v>
      </c>
      <c r="B27" s="135" t="s">
        <v>306</v>
      </c>
      <c r="C27" s="46">
        <v>30</v>
      </c>
      <c r="D27" s="136">
        <f t="shared" si="0"/>
        <v>75</v>
      </c>
      <c r="E27" s="60">
        <v>24</v>
      </c>
      <c r="F27" s="136">
        <f t="shared" si="1"/>
        <v>60</v>
      </c>
      <c r="G27" s="139">
        <v>31</v>
      </c>
      <c r="H27" s="137">
        <f t="shared" si="2"/>
        <v>77.5</v>
      </c>
      <c r="I27" s="46">
        <v>38</v>
      </c>
      <c r="J27" s="138">
        <f t="shared" si="3"/>
        <v>95</v>
      </c>
      <c r="K27" s="136">
        <v>30</v>
      </c>
      <c r="L27" s="138">
        <f t="shared" si="4"/>
        <v>75</v>
      </c>
      <c r="M27" s="136">
        <v>33</v>
      </c>
      <c r="N27" s="141">
        <f t="shared" si="5"/>
        <v>82.5</v>
      </c>
      <c r="O27" s="136">
        <f t="shared" si="6"/>
        <v>465</v>
      </c>
      <c r="P27" s="42">
        <f t="shared" si="7"/>
        <v>77.5</v>
      </c>
      <c r="Q27" s="46" t="str">
        <f t="shared" si="8"/>
        <v>PASS</v>
      </c>
    </row>
    <row r="28" spans="1:17" ht="17.399999999999999">
      <c r="A28" s="134">
        <v>21</v>
      </c>
      <c r="B28" s="135" t="s">
        <v>307</v>
      </c>
      <c r="C28" s="46">
        <v>33</v>
      </c>
      <c r="D28" s="136">
        <f t="shared" si="0"/>
        <v>82.5</v>
      </c>
      <c r="E28" s="60">
        <v>30</v>
      </c>
      <c r="F28" s="136">
        <f t="shared" si="1"/>
        <v>75</v>
      </c>
      <c r="G28" s="139">
        <v>32</v>
      </c>
      <c r="H28" s="140">
        <f t="shared" si="2"/>
        <v>80</v>
      </c>
      <c r="I28" s="46">
        <v>40</v>
      </c>
      <c r="J28" s="138">
        <f t="shared" si="3"/>
        <v>100</v>
      </c>
      <c r="K28" s="46">
        <v>37</v>
      </c>
      <c r="L28" s="138">
        <f t="shared" si="4"/>
        <v>92.5</v>
      </c>
      <c r="M28" s="136">
        <v>33</v>
      </c>
      <c r="N28" s="138">
        <f t="shared" si="5"/>
        <v>82.5</v>
      </c>
      <c r="O28" s="136">
        <f t="shared" si="6"/>
        <v>512.5</v>
      </c>
      <c r="P28" s="42">
        <f t="shared" si="7"/>
        <v>85.416666666666657</v>
      </c>
      <c r="Q28" s="46" t="str">
        <f t="shared" si="8"/>
        <v>PASS</v>
      </c>
    </row>
    <row r="29" spans="1:17" ht="17.399999999999999">
      <c r="A29" s="134">
        <v>22</v>
      </c>
      <c r="B29" s="135" t="s">
        <v>308</v>
      </c>
      <c r="C29" s="46">
        <v>22</v>
      </c>
      <c r="D29" s="136">
        <f t="shared" si="0"/>
        <v>55.000000000000007</v>
      </c>
      <c r="E29" s="60">
        <v>11</v>
      </c>
      <c r="F29" s="136">
        <f t="shared" si="1"/>
        <v>27.500000000000004</v>
      </c>
      <c r="G29" s="139">
        <v>7</v>
      </c>
      <c r="H29" s="140">
        <f t="shared" si="2"/>
        <v>17.5</v>
      </c>
      <c r="I29" s="46">
        <v>26</v>
      </c>
      <c r="J29" s="138">
        <f t="shared" si="3"/>
        <v>65</v>
      </c>
      <c r="K29" s="136">
        <v>23</v>
      </c>
      <c r="L29" s="138">
        <f t="shared" si="4"/>
        <v>57.499999999999993</v>
      </c>
      <c r="M29" s="136">
        <v>19</v>
      </c>
      <c r="N29" s="138">
        <f t="shared" si="5"/>
        <v>47.5</v>
      </c>
      <c r="O29" s="136">
        <f t="shared" si="6"/>
        <v>270</v>
      </c>
      <c r="P29" s="42">
        <f t="shared" si="7"/>
        <v>45</v>
      </c>
      <c r="Q29" s="46" t="str">
        <f t="shared" si="8"/>
        <v>PASS</v>
      </c>
    </row>
    <row r="30" spans="1:17" ht="17.399999999999999">
      <c r="A30" s="134">
        <v>23</v>
      </c>
      <c r="B30" s="135" t="s">
        <v>309</v>
      </c>
      <c r="C30" s="46">
        <v>34</v>
      </c>
      <c r="D30" s="136">
        <f t="shared" si="0"/>
        <v>85</v>
      </c>
      <c r="E30" s="60">
        <v>38</v>
      </c>
      <c r="F30" s="136">
        <f t="shared" si="1"/>
        <v>95</v>
      </c>
      <c r="G30" s="139">
        <v>27</v>
      </c>
      <c r="H30" s="140">
        <f t="shared" si="2"/>
        <v>67.5</v>
      </c>
      <c r="I30" s="46">
        <v>39</v>
      </c>
      <c r="J30" s="138">
        <f t="shared" si="3"/>
        <v>97.5</v>
      </c>
      <c r="K30" s="46">
        <v>40</v>
      </c>
      <c r="L30" s="138">
        <f t="shared" si="4"/>
        <v>100</v>
      </c>
      <c r="M30" s="136">
        <v>38</v>
      </c>
      <c r="N30" s="138">
        <f t="shared" si="5"/>
        <v>95</v>
      </c>
      <c r="O30" s="136">
        <f t="shared" si="6"/>
        <v>540</v>
      </c>
      <c r="P30" s="42">
        <f t="shared" si="7"/>
        <v>90</v>
      </c>
      <c r="Q30" s="46" t="str">
        <f t="shared" si="8"/>
        <v>PASS</v>
      </c>
    </row>
    <row r="31" spans="1:17" ht="17.399999999999999">
      <c r="A31" s="134">
        <v>24</v>
      </c>
      <c r="B31" s="135" t="s">
        <v>310</v>
      </c>
      <c r="C31" s="46">
        <v>36</v>
      </c>
      <c r="D31" s="136">
        <f t="shared" si="0"/>
        <v>90</v>
      </c>
      <c r="E31" s="60">
        <v>34</v>
      </c>
      <c r="F31" s="136">
        <f t="shared" si="1"/>
        <v>85</v>
      </c>
      <c r="G31" s="144">
        <v>25</v>
      </c>
      <c r="H31" s="140">
        <f t="shared" si="2"/>
        <v>62.5</v>
      </c>
      <c r="I31" s="46">
        <v>36</v>
      </c>
      <c r="J31" s="138">
        <f t="shared" si="3"/>
        <v>90</v>
      </c>
      <c r="K31" s="136">
        <v>37</v>
      </c>
      <c r="L31" s="138">
        <f t="shared" si="4"/>
        <v>92.5</v>
      </c>
      <c r="M31" s="136">
        <v>37</v>
      </c>
      <c r="N31" s="138">
        <f t="shared" si="5"/>
        <v>92.5</v>
      </c>
      <c r="O31" s="136">
        <f t="shared" si="6"/>
        <v>512.5</v>
      </c>
      <c r="P31" s="42">
        <f t="shared" si="7"/>
        <v>85.416666666666657</v>
      </c>
      <c r="Q31" s="46" t="str">
        <f t="shared" si="8"/>
        <v>PASS</v>
      </c>
    </row>
    <row r="32" spans="1:17" ht="17.399999999999999">
      <c r="A32" s="134">
        <v>25</v>
      </c>
      <c r="B32" s="135" t="s">
        <v>311</v>
      </c>
      <c r="C32" s="46">
        <v>19</v>
      </c>
      <c r="D32" s="136">
        <f t="shared" si="0"/>
        <v>47.5</v>
      </c>
      <c r="E32" s="60">
        <v>25</v>
      </c>
      <c r="F32" s="136">
        <f t="shared" si="1"/>
        <v>62.5</v>
      </c>
      <c r="G32" s="139">
        <v>18</v>
      </c>
      <c r="H32" s="140">
        <f t="shared" si="2"/>
        <v>45</v>
      </c>
      <c r="I32" s="46">
        <v>28</v>
      </c>
      <c r="J32" s="138">
        <f t="shared" si="3"/>
        <v>70</v>
      </c>
      <c r="K32" s="46">
        <v>30</v>
      </c>
      <c r="L32" s="138" t="s">
        <v>123</v>
      </c>
      <c r="M32" s="136">
        <v>7</v>
      </c>
      <c r="N32" s="141">
        <f t="shared" si="5"/>
        <v>17.5</v>
      </c>
      <c r="O32" s="136">
        <f t="shared" si="6"/>
        <v>242.5</v>
      </c>
      <c r="P32" s="42">
        <f t="shared" si="7"/>
        <v>40.416666666666664</v>
      </c>
      <c r="Q32" s="46" t="str">
        <f t="shared" si="8"/>
        <v>PASS</v>
      </c>
    </row>
    <row r="33" spans="1:17" ht="17.399999999999999">
      <c r="A33" s="134">
        <v>26</v>
      </c>
      <c r="B33" s="135" t="s">
        <v>312</v>
      </c>
      <c r="C33" s="46">
        <v>38</v>
      </c>
      <c r="D33" s="136">
        <f t="shared" si="0"/>
        <v>95</v>
      </c>
      <c r="E33" s="60">
        <v>37</v>
      </c>
      <c r="F33" s="136">
        <f t="shared" si="1"/>
        <v>92.5</v>
      </c>
      <c r="G33" s="145">
        <v>27</v>
      </c>
      <c r="H33" s="140">
        <f t="shared" si="2"/>
        <v>67.5</v>
      </c>
      <c r="I33" s="46">
        <v>39</v>
      </c>
      <c r="J33" s="138">
        <f t="shared" si="3"/>
        <v>97.5</v>
      </c>
      <c r="K33" s="136">
        <v>35</v>
      </c>
      <c r="L33" s="138">
        <f t="shared" ref="L33:L52" si="9">IF(K33="","",IF(K33="AB",AB,IF(K33="TC","TC",(K33/L$6)*100)))</f>
        <v>87.5</v>
      </c>
      <c r="M33" s="136">
        <v>34</v>
      </c>
      <c r="N33" s="141">
        <f t="shared" si="5"/>
        <v>85</v>
      </c>
      <c r="O33" s="136">
        <f t="shared" si="6"/>
        <v>525</v>
      </c>
      <c r="P33" s="42">
        <f t="shared" si="7"/>
        <v>87.5</v>
      </c>
      <c r="Q33" s="46" t="str">
        <f t="shared" si="8"/>
        <v>PASS</v>
      </c>
    </row>
    <row r="34" spans="1:17" ht="17.399999999999999">
      <c r="A34" s="134">
        <v>27</v>
      </c>
      <c r="B34" s="135" t="s">
        <v>313</v>
      </c>
      <c r="C34" s="46">
        <v>23</v>
      </c>
      <c r="D34" s="136">
        <f t="shared" si="0"/>
        <v>57.499999999999993</v>
      </c>
      <c r="E34" s="60">
        <v>22</v>
      </c>
      <c r="F34" s="136">
        <f t="shared" si="1"/>
        <v>55.000000000000007</v>
      </c>
      <c r="G34" s="139">
        <v>25</v>
      </c>
      <c r="H34" s="140">
        <f t="shared" si="2"/>
        <v>62.5</v>
      </c>
      <c r="I34" s="46">
        <v>29</v>
      </c>
      <c r="J34" s="138">
        <f t="shared" si="3"/>
        <v>72.5</v>
      </c>
      <c r="K34" s="46">
        <v>28</v>
      </c>
      <c r="L34" s="138">
        <f t="shared" si="9"/>
        <v>70</v>
      </c>
      <c r="M34" s="136">
        <v>28</v>
      </c>
      <c r="N34" s="138">
        <f t="shared" si="5"/>
        <v>70</v>
      </c>
      <c r="O34" s="136">
        <f t="shared" si="6"/>
        <v>387.5</v>
      </c>
      <c r="P34" s="42">
        <f t="shared" si="7"/>
        <v>64.583333333333343</v>
      </c>
      <c r="Q34" s="46" t="str">
        <f t="shared" si="8"/>
        <v>PASS</v>
      </c>
    </row>
    <row r="35" spans="1:17" ht="17.399999999999999">
      <c r="A35" s="134">
        <v>28</v>
      </c>
      <c r="B35" s="135" t="s">
        <v>314</v>
      </c>
      <c r="C35" s="46">
        <v>33</v>
      </c>
      <c r="D35" s="136">
        <f t="shared" si="0"/>
        <v>82.5</v>
      </c>
      <c r="E35" s="60">
        <v>35</v>
      </c>
      <c r="F35" s="136">
        <f t="shared" si="1"/>
        <v>87.5</v>
      </c>
      <c r="G35" s="139">
        <v>32</v>
      </c>
      <c r="H35" s="140">
        <f t="shared" si="2"/>
        <v>80</v>
      </c>
      <c r="I35" s="46">
        <v>40</v>
      </c>
      <c r="J35" s="138">
        <f t="shared" si="3"/>
        <v>100</v>
      </c>
      <c r="K35" s="46">
        <v>36</v>
      </c>
      <c r="L35" s="138">
        <f t="shared" si="9"/>
        <v>90</v>
      </c>
      <c r="M35" s="136">
        <v>37</v>
      </c>
      <c r="N35" s="138">
        <f t="shared" si="5"/>
        <v>92.5</v>
      </c>
      <c r="O35" s="136">
        <f t="shared" si="6"/>
        <v>532.5</v>
      </c>
      <c r="P35" s="42">
        <f t="shared" si="7"/>
        <v>88.75</v>
      </c>
      <c r="Q35" s="46" t="str">
        <f t="shared" si="8"/>
        <v>PASS</v>
      </c>
    </row>
    <row r="36" spans="1:17" ht="17.399999999999999">
      <c r="A36" s="134">
        <v>29</v>
      </c>
      <c r="B36" s="135" t="s">
        <v>315</v>
      </c>
      <c r="C36" s="46">
        <v>21</v>
      </c>
      <c r="D36" s="136">
        <f t="shared" si="0"/>
        <v>52.5</v>
      </c>
      <c r="E36" s="60">
        <v>20</v>
      </c>
      <c r="F36" s="142">
        <f t="shared" si="1"/>
        <v>50</v>
      </c>
      <c r="G36" s="6">
        <v>21</v>
      </c>
      <c r="H36" s="137">
        <f t="shared" si="2"/>
        <v>52.5</v>
      </c>
      <c r="I36" s="46">
        <v>28</v>
      </c>
      <c r="J36" s="138">
        <f t="shared" si="3"/>
        <v>70</v>
      </c>
      <c r="K36" s="46">
        <v>32</v>
      </c>
      <c r="L36" s="138">
        <f t="shared" si="9"/>
        <v>80</v>
      </c>
      <c r="M36" s="136">
        <v>23</v>
      </c>
      <c r="N36" s="141">
        <f t="shared" si="5"/>
        <v>57.499999999999993</v>
      </c>
      <c r="O36" s="136">
        <f t="shared" si="6"/>
        <v>362.5</v>
      </c>
      <c r="P36" s="42">
        <f t="shared" si="7"/>
        <v>60.416666666666664</v>
      </c>
      <c r="Q36" s="46" t="str">
        <f t="shared" si="8"/>
        <v>PASS</v>
      </c>
    </row>
    <row r="37" spans="1:17" ht="17.399999999999999">
      <c r="A37" s="134">
        <v>30</v>
      </c>
      <c r="B37" s="135" t="s">
        <v>316</v>
      </c>
      <c r="C37" s="46">
        <v>27</v>
      </c>
      <c r="D37" s="136">
        <f t="shared" si="0"/>
        <v>67.5</v>
      </c>
      <c r="E37" s="60">
        <v>30</v>
      </c>
      <c r="F37" s="136">
        <f t="shared" si="1"/>
        <v>75</v>
      </c>
      <c r="G37" s="6">
        <v>30</v>
      </c>
      <c r="H37" s="140">
        <f t="shared" si="2"/>
        <v>75</v>
      </c>
      <c r="I37" s="46">
        <v>38</v>
      </c>
      <c r="J37" s="138">
        <f t="shared" si="3"/>
        <v>95</v>
      </c>
      <c r="K37" s="46">
        <v>38</v>
      </c>
      <c r="L37" s="138">
        <f t="shared" si="9"/>
        <v>95</v>
      </c>
      <c r="M37" s="136">
        <v>34</v>
      </c>
      <c r="N37" s="138">
        <f t="shared" si="5"/>
        <v>85</v>
      </c>
      <c r="O37" s="136">
        <f t="shared" si="6"/>
        <v>492.5</v>
      </c>
      <c r="P37" s="42">
        <f t="shared" si="7"/>
        <v>82.083333333333329</v>
      </c>
      <c r="Q37" s="46" t="str">
        <f t="shared" si="8"/>
        <v>PASS</v>
      </c>
    </row>
    <row r="38" spans="1:17" ht="17.399999999999999">
      <c r="A38" s="134">
        <v>31</v>
      </c>
      <c r="B38" s="135" t="s">
        <v>317</v>
      </c>
      <c r="C38" s="46">
        <v>34</v>
      </c>
      <c r="D38" s="136">
        <f t="shared" si="0"/>
        <v>85</v>
      </c>
      <c r="E38" s="60">
        <v>30</v>
      </c>
      <c r="F38" s="136">
        <f t="shared" si="1"/>
        <v>75</v>
      </c>
      <c r="G38" s="139">
        <v>30</v>
      </c>
      <c r="H38" s="140">
        <f t="shared" si="2"/>
        <v>75</v>
      </c>
      <c r="I38" s="46">
        <v>39</v>
      </c>
      <c r="J38" s="138">
        <f t="shared" si="3"/>
        <v>97.5</v>
      </c>
      <c r="K38" s="46">
        <v>29</v>
      </c>
      <c r="L38" s="138">
        <f t="shared" si="9"/>
        <v>72.5</v>
      </c>
      <c r="M38" s="136">
        <v>32</v>
      </c>
      <c r="N38" s="141">
        <f t="shared" si="5"/>
        <v>80</v>
      </c>
      <c r="O38" s="136">
        <f t="shared" si="6"/>
        <v>485</v>
      </c>
      <c r="P38" s="42">
        <f t="shared" si="7"/>
        <v>80.833333333333329</v>
      </c>
      <c r="Q38" s="46" t="str">
        <f t="shared" si="8"/>
        <v>PASS</v>
      </c>
    </row>
    <row r="39" spans="1:17" ht="17.399999999999999">
      <c r="A39" s="134">
        <v>32</v>
      </c>
      <c r="B39" s="135" t="s">
        <v>318</v>
      </c>
      <c r="C39" s="46">
        <v>26</v>
      </c>
      <c r="D39" s="136">
        <f t="shared" si="0"/>
        <v>65</v>
      </c>
      <c r="E39" s="60">
        <v>24</v>
      </c>
      <c r="F39" s="136">
        <f t="shared" si="1"/>
        <v>60</v>
      </c>
      <c r="G39" s="139">
        <v>9</v>
      </c>
      <c r="H39" s="140">
        <f t="shared" si="2"/>
        <v>22.5</v>
      </c>
      <c r="I39" s="46">
        <v>24</v>
      </c>
      <c r="J39" s="138">
        <f t="shared" si="3"/>
        <v>60</v>
      </c>
      <c r="K39" s="46">
        <v>27</v>
      </c>
      <c r="L39" s="138">
        <f t="shared" si="9"/>
        <v>67.5</v>
      </c>
      <c r="M39" s="136">
        <v>26</v>
      </c>
      <c r="N39" s="138">
        <f t="shared" si="5"/>
        <v>65</v>
      </c>
      <c r="O39" s="136">
        <f t="shared" si="6"/>
        <v>340</v>
      </c>
      <c r="P39" s="42">
        <f t="shared" si="7"/>
        <v>56.666666666666664</v>
      </c>
      <c r="Q39" s="46" t="str">
        <f t="shared" si="8"/>
        <v>PASS</v>
      </c>
    </row>
    <row r="40" spans="1:17" ht="17.399999999999999">
      <c r="A40" s="134">
        <v>33</v>
      </c>
      <c r="B40" s="135" t="s">
        <v>319</v>
      </c>
      <c r="C40" s="46">
        <v>23</v>
      </c>
      <c r="D40" s="136">
        <f t="shared" si="0"/>
        <v>57.499999999999993</v>
      </c>
      <c r="E40" s="60">
        <v>36</v>
      </c>
      <c r="F40" s="136">
        <f t="shared" si="1"/>
        <v>90</v>
      </c>
      <c r="G40" s="139">
        <v>22</v>
      </c>
      <c r="H40" s="140">
        <f t="shared" si="2"/>
        <v>55.000000000000007</v>
      </c>
      <c r="I40" s="46">
        <v>34</v>
      </c>
      <c r="J40" s="138">
        <f t="shared" si="3"/>
        <v>85</v>
      </c>
      <c r="K40" s="46">
        <v>36</v>
      </c>
      <c r="L40" s="138">
        <f t="shared" si="9"/>
        <v>90</v>
      </c>
      <c r="M40" s="136">
        <v>34</v>
      </c>
      <c r="N40" s="138">
        <f t="shared" si="5"/>
        <v>85</v>
      </c>
      <c r="O40" s="136">
        <f t="shared" si="6"/>
        <v>462.5</v>
      </c>
      <c r="P40" s="42">
        <f t="shared" si="7"/>
        <v>77.083333333333343</v>
      </c>
      <c r="Q40" s="46" t="str">
        <f t="shared" si="8"/>
        <v>PASS</v>
      </c>
    </row>
    <row r="41" spans="1:17" ht="17.399999999999999">
      <c r="A41" s="134">
        <v>34</v>
      </c>
      <c r="B41" s="135" t="s">
        <v>320</v>
      </c>
      <c r="C41" s="46">
        <v>22</v>
      </c>
      <c r="D41" s="136">
        <f t="shared" si="0"/>
        <v>55.000000000000007</v>
      </c>
      <c r="E41" s="60">
        <v>16</v>
      </c>
      <c r="F41" s="142">
        <f t="shared" si="1"/>
        <v>40</v>
      </c>
      <c r="G41" s="139">
        <v>13</v>
      </c>
      <c r="H41" s="137">
        <f t="shared" si="2"/>
        <v>32.5</v>
      </c>
      <c r="I41" s="46">
        <v>24</v>
      </c>
      <c r="J41" s="138">
        <f t="shared" si="3"/>
        <v>60</v>
      </c>
      <c r="K41" s="46">
        <v>22</v>
      </c>
      <c r="L41" s="138">
        <f t="shared" si="9"/>
        <v>55.000000000000007</v>
      </c>
      <c r="M41" s="136">
        <v>22</v>
      </c>
      <c r="N41" s="141">
        <f t="shared" si="5"/>
        <v>55.000000000000007</v>
      </c>
      <c r="O41" s="136">
        <f t="shared" si="6"/>
        <v>297.5</v>
      </c>
      <c r="P41" s="42">
        <f t="shared" si="7"/>
        <v>49.583333333333336</v>
      </c>
      <c r="Q41" s="46" t="str">
        <f t="shared" si="8"/>
        <v>PASS</v>
      </c>
    </row>
    <row r="42" spans="1:17" ht="17.399999999999999">
      <c r="A42" s="134">
        <v>35</v>
      </c>
      <c r="B42" s="135" t="s">
        <v>321</v>
      </c>
      <c r="C42" s="65">
        <v>24</v>
      </c>
      <c r="D42" s="136">
        <f t="shared" si="0"/>
        <v>60</v>
      </c>
      <c r="E42" s="60">
        <v>19</v>
      </c>
      <c r="F42" s="136">
        <f t="shared" si="1"/>
        <v>47.5</v>
      </c>
      <c r="G42" s="139">
        <v>16</v>
      </c>
      <c r="H42" s="137">
        <f t="shared" si="2"/>
        <v>40</v>
      </c>
      <c r="I42" s="65">
        <v>24</v>
      </c>
      <c r="J42" s="138">
        <f t="shared" si="3"/>
        <v>60</v>
      </c>
      <c r="K42" s="46">
        <v>26</v>
      </c>
      <c r="L42" s="138">
        <f t="shared" si="9"/>
        <v>65</v>
      </c>
      <c r="M42" s="136">
        <v>12</v>
      </c>
      <c r="N42" s="141">
        <f t="shared" si="5"/>
        <v>30</v>
      </c>
      <c r="O42" s="136">
        <f t="shared" si="6"/>
        <v>302.5</v>
      </c>
      <c r="P42" s="42">
        <f t="shared" si="7"/>
        <v>50.416666666666664</v>
      </c>
      <c r="Q42" s="46" t="str">
        <f t="shared" si="8"/>
        <v>PASS</v>
      </c>
    </row>
    <row r="43" spans="1:17" ht="17.399999999999999">
      <c r="A43" s="134">
        <v>36</v>
      </c>
      <c r="B43" s="135" t="s">
        <v>322</v>
      </c>
      <c r="C43" s="46">
        <v>38</v>
      </c>
      <c r="D43" s="136">
        <f t="shared" si="0"/>
        <v>95</v>
      </c>
      <c r="E43" s="60">
        <v>28</v>
      </c>
      <c r="F43" s="136">
        <f t="shared" si="1"/>
        <v>70</v>
      </c>
      <c r="G43" s="139">
        <v>34</v>
      </c>
      <c r="H43" s="140">
        <f t="shared" si="2"/>
        <v>85</v>
      </c>
      <c r="I43" s="46">
        <v>39</v>
      </c>
      <c r="J43" s="138">
        <f t="shared" si="3"/>
        <v>97.5</v>
      </c>
      <c r="K43" s="46">
        <v>32</v>
      </c>
      <c r="L43" s="138">
        <f t="shared" si="9"/>
        <v>80</v>
      </c>
      <c r="M43" s="136">
        <v>32</v>
      </c>
      <c r="N43" s="138">
        <f t="shared" si="5"/>
        <v>80</v>
      </c>
      <c r="O43" s="136">
        <f t="shared" si="6"/>
        <v>507.5</v>
      </c>
      <c r="P43" s="42">
        <f t="shared" si="7"/>
        <v>84.583333333333329</v>
      </c>
      <c r="Q43" s="46" t="str">
        <f t="shared" si="8"/>
        <v>PASS</v>
      </c>
    </row>
    <row r="44" spans="1:17" ht="17.399999999999999">
      <c r="A44" s="134">
        <v>37</v>
      </c>
      <c r="B44" s="135" t="s">
        <v>323</v>
      </c>
      <c r="C44" s="46">
        <v>24</v>
      </c>
      <c r="D44" s="136">
        <f t="shared" si="0"/>
        <v>60</v>
      </c>
      <c r="E44" s="60">
        <v>38</v>
      </c>
      <c r="F44" s="136">
        <f t="shared" si="1"/>
        <v>95</v>
      </c>
      <c r="G44" s="6">
        <v>31</v>
      </c>
      <c r="H44" s="140">
        <f t="shared" si="2"/>
        <v>77.5</v>
      </c>
      <c r="I44" s="46">
        <v>33</v>
      </c>
      <c r="J44" s="138">
        <f t="shared" si="3"/>
        <v>82.5</v>
      </c>
      <c r="K44" s="46">
        <v>30</v>
      </c>
      <c r="L44" s="138">
        <f t="shared" si="9"/>
        <v>75</v>
      </c>
      <c r="M44" s="136">
        <v>29</v>
      </c>
      <c r="N44" s="138">
        <f t="shared" si="5"/>
        <v>72.5</v>
      </c>
      <c r="O44" s="136">
        <f t="shared" si="6"/>
        <v>462.5</v>
      </c>
      <c r="P44" s="42">
        <f t="shared" si="7"/>
        <v>77.083333333333343</v>
      </c>
      <c r="Q44" s="46" t="str">
        <f t="shared" si="8"/>
        <v>PASS</v>
      </c>
    </row>
    <row r="45" spans="1:17" ht="19.5" customHeight="1">
      <c r="A45" s="134">
        <v>38</v>
      </c>
      <c r="B45" s="146" t="s">
        <v>324</v>
      </c>
      <c r="C45" s="22">
        <v>32</v>
      </c>
      <c r="D45" s="37">
        <f t="shared" si="0"/>
        <v>80</v>
      </c>
      <c r="E45" s="22">
        <v>33</v>
      </c>
      <c r="F45" s="37">
        <f t="shared" si="1"/>
        <v>82.5</v>
      </c>
      <c r="G45" s="79">
        <v>28</v>
      </c>
      <c r="H45" s="140">
        <f t="shared" si="2"/>
        <v>70</v>
      </c>
      <c r="I45" s="147">
        <v>37</v>
      </c>
      <c r="J45" s="138">
        <f t="shared" si="3"/>
        <v>92.5</v>
      </c>
      <c r="K45" s="22">
        <v>28</v>
      </c>
      <c r="L45" s="138">
        <f t="shared" si="9"/>
        <v>70</v>
      </c>
      <c r="M45" s="37">
        <v>37</v>
      </c>
      <c r="N45" s="138">
        <f t="shared" si="5"/>
        <v>92.5</v>
      </c>
      <c r="O45" s="37"/>
      <c r="P45" s="39"/>
      <c r="Q45" s="22" t="str">
        <f t="shared" si="8"/>
        <v/>
      </c>
    </row>
    <row r="46" spans="1:17" ht="17.399999999999999">
      <c r="A46" s="134">
        <v>39</v>
      </c>
      <c r="B46" s="135" t="s">
        <v>325</v>
      </c>
      <c r="C46" s="46">
        <v>34</v>
      </c>
      <c r="D46" s="136">
        <f t="shared" si="0"/>
        <v>85</v>
      </c>
      <c r="E46" s="60">
        <v>31</v>
      </c>
      <c r="F46" s="136">
        <f t="shared" si="1"/>
        <v>77.5</v>
      </c>
      <c r="G46" s="6">
        <v>25</v>
      </c>
      <c r="H46" s="140">
        <f t="shared" si="2"/>
        <v>62.5</v>
      </c>
      <c r="I46" s="46">
        <v>25</v>
      </c>
      <c r="J46" s="138">
        <f t="shared" si="3"/>
        <v>62.5</v>
      </c>
      <c r="K46" s="46">
        <v>29</v>
      </c>
      <c r="L46" s="138">
        <f t="shared" si="9"/>
        <v>72.5</v>
      </c>
      <c r="M46" s="136">
        <v>24</v>
      </c>
      <c r="N46" s="138">
        <f t="shared" si="5"/>
        <v>60</v>
      </c>
      <c r="O46" s="136">
        <f t="shared" ref="O46:O52" si="10">SUM(D46,F46,H46,J46,L46,N46)</f>
        <v>420</v>
      </c>
      <c r="P46" s="42">
        <f t="shared" ref="P46:P52" si="11">IF(O46="","",IF(O46="AB","AB",(O46/P$6)*100))</f>
        <v>70</v>
      </c>
      <c r="Q46" s="46" t="str">
        <f t="shared" si="8"/>
        <v>PASS</v>
      </c>
    </row>
    <row r="47" spans="1:17" ht="17.399999999999999">
      <c r="A47" s="134">
        <v>40</v>
      </c>
      <c r="B47" s="135" t="s">
        <v>326</v>
      </c>
      <c r="C47" s="46">
        <v>29</v>
      </c>
      <c r="D47" s="136">
        <f t="shared" si="0"/>
        <v>72.5</v>
      </c>
      <c r="E47" s="60">
        <v>22</v>
      </c>
      <c r="F47" s="136">
        <f t="shared" si="1"/>
        <v>55.000000000000007</v>
      </c>
      <c r="G47" s="6">
        <v>31</v>
      </c>
      <c r="H47" s="140">
        <f t="shared" si="2"/>
        <v>77.5</v>
      </c>
      <c r="I47" s="46">
        <v>39</v>
      </c>
      <c r="J47" s="138">
        <f t="shared" si="3"/>
        <v>97.5</v>
      </c>
      <c r="K47" s="46">
        <v>31</v>
      </c>
      <c r="L47" s="138">
        <f t="shared" si="9"/>
        <v>77.5</v>
      </c>
      <c r="M47" s="136">
        <v>30</v>
      </c>
      <c r="N47" s="141">
        <f t="shared" si="5"/>
        <v>75</v>
      </c>
      <c r="O47" s="136">
        <f t="shared" si="10"/>
        <v>455</v>
      </c>
      <c r="P47" s="42">
        <f t="shared" si="11"/>
        <v>75.833333333333329</v>
      </c>
      <c r="Q47" s="46" t="str">
        <f t="shared" si="8"/>
        <v>PASS</v>
      </c>
    </row>
    <row r="48" spans="1:17" ht="17.399999999999999">
      <c r="A48" s="134">
        <v>41</v>
      </c>
      <c r="B48" s="135" t="s">
        <v>327</v>
      </c>
      <c r="C48" s="46">
        <v>14</v>
      </c>
      <c r="D48" s="136">
        <f t="shared" si="0"/>
        <v>35</v>
      </c>
      <c r="E48" s="60">
        <v>12</v>
      </c>
      <c r="F48" s="142">
        <f t="shared" si="1"/>
        <v>30</v>
      </c>
      <c r="G48" s="6">
        <v>14</v>
      </c>
      <c r="H48" s="137">
        <f t="shared" si="2"/>
        <v>35</v>
      </c>
      <c r="I48" s="46">
        <v>21</v>
      </c>
      <c r="J48" s="138">
        <f t="shared" si="3"/>
        <v>52.5</v>
      </c>
      <c r="K48" s="46">
        <v>17</v>
      </c>
      <c r="L48" s="138">
        <f t="shared" si="9"/>
        <v>42.5</v>
      </c>
      <c r="M48" s="136">
        <v>25</v>
      </c>
      <c r="N48" s="141">
        <f t="shared" si="5"/>
        <v>62.5</v>
      </c>
      <c r="O48" s="136">
        <f t="shared" si="10"/>
        <v>257.5</v>
      </c>
      <c r="P48" s="42">
        <f t="shared" si="11"/>
        <v>42.916666666666664</v>
      </c>
      <c r="Q48" s="148" t="str">
        <f t="shared" si="8"/>
        <v>PASS</v>
      </c>
    </row>
    <row r="49" spans="1:17" ht="17.399999999999999">
      <c r="A49" s="134">
        <v>42</v>
      </c>
      <c r="B49" s="135" t="s">
        <v>328</v>
      </c>
      <c r="C49" s="46">
        <v>26</v>
      </c>
      <c r="D49" s="136">
        <f t="shared" si="0"/>
        <v>65</v>
      </c>
      <c r="E49" s="60">
        <v>22</v>
      </c>
      <c r="F49" s="136">
        <f t="shared" si="1"/>
        <v>55.000000000000007</v>
      </c>
      <c r="G49" s="6">
        <v>31</v>
      </c>
      <c r="H49" s="140">
        <f t="shared" si="2"/>
        <v>77.5</v>
      </c>
      <c r="I49" s="46">
        <v>29</v>
      </c>
      <c r="J49" s="138">
        <f t="shared" si="3"/>
        <v>72.5</v>
      </c>
      <c r="K49" s="46">
        <v>24</v>
      </c>
      <c r="L49" s="138">
        <f t="shared" si="9"/>
        <v>60</v>
      </c>
      <c r="M49" s="136">
        <v>22</v>
      </c>
      <c r="N49" s="138">
        <f t="shared" si="5"/>
        <v>55.000000000000007</v>
      </c>
      <c r="O49" s="136">
        <f t="shared" si="10"/>
        <v>385</v>
      </c>
      <c r="P49" s="42">
        <f t="shared" si="11"/>
        <v>64.166666666666671</v>
      </c>
      <c r="Q49" s="148" t="str">
        <f t="shared" si="8"/>
        <v>PASS</v>
      </c>
    </row>
    <row r="50" spans="1:17" ht="17.399999999999999">
      <c r="A50" s="134">
        <v>43</v>
      </c>
      <c r="B50" s="135" t="s">
        <v>329</v>
      </c>
      <c r="C50" s="46">
        <v>16</v>
      </c>
      <c r="D50" s="136">
        <f t="shared" si="0"/>
        <v>40</v>
      </c>
      <c r="E50" s="60">
        <v>16</v>
      </c>
      <c r="F50" s="136">
        <f t="shared" si="1"/>
        <v>40</v>
      </c>
      <c r="G50" s="6">
        <v>13</v>
      </c>
      <c r="H50" s="137">
        <f t="shared" si="2"/>
        <v>32.5</v>
      </c>
      <c r="I50" s="46">
        <v>27</v>
      </c>
      <c r="J50" s="138">
        <f t="shared" si="3"/>
        <v>67.5</v>
      </c>
      <c r="K50" s="46">
        <v>22</v>
      </c>
      <c r="L50" s="138">
        <f t="shared" si="9"/>
        <v>55.000000000000007</v>
      </c>
      <c r="M50" s="136">
        <v>21</v>
      </c>
      <c r="N50" s="141">
        <f t="shared" si="5"/>
        <v>52.5</v>
      </c>
      <c r="O50" s="136">
        <f t="shared" si="10"/>
        <v>287.5</v>
      </c>
      <c r="P50" s="42">
        <f t="shared" si="11"/>
        <v>47.916666666666671</v>
      </c>
      <c r="Q50" s="148" t="str">
        <f t="shared" si="8"/>
        <v>PASS</v>
      </c>
    </row>
    <row r="51" spans="1:17" ht="17.399999999999999">
      <c r="A51" s="134">
        <v>44</v>
      </c>
      <c r="B51" s="135" t="s">
        <v>330</v>
      </c>
      <c r="C51" s="46">
        <v>34</v>
      </c>
      <c r="D51" s="136">
        <f t="shared" si="0"/>
        <v>85</v>
      </c>
      <c r="E51" s="60">
        <v>31</v>
      </c>
      <c r="F51" s="136">
        <f t="shared" si="1"/>
        <v>77.5</v>
      </c>
      <c r="G51" s="6">
        <v>21</v>
      </c>
      <c r="H51" s="140">
        <f t="shared" si="2"/>
        <v>52.5</v>
      </c>
      <c r="I51" s="46">
        <v>36</v>
      </c>
      <c r="J51" s="138">
        <f t="shared" si="3"/>
        <v>90</v>
      </c>
      <c r="K51" s="46">
        <v>32</v>
      </c>
      <c r="L51" s="138">
        <f t="shared" si="9"/>
        <v>80</v>
      </c>
      <c r="M51" s="136">
        <v>31</v>
      </c>
      <c r="N51" s="141">
        <f t="shared" si="5"/>
        <v>77.5</v>
      </c>
      <c r="O51" s="136">
        <f t="shared" si="10"/>
        <v>462.5</v>
      </c>
      <c r="P51" s="42">
        <f t="shared" si="11"/>
        <v>77.083333333333343</v>
      </c>
      <c r="Q51" s="148" t="str">
        <f t="shared" si="8"/>
        <v>PASS</v>
      </c>
    </row>
    <row r="52" spans="1:17" ht="17.399999999999999">
      <c r="A52" s="134">
        <v>45</v>
      </c>
      <c r="B52" s="135" t="s">
        <v>331</v>
      </c>
      <c r="C52" s="46">
        <v>16</v>
      </c>
      <c r="D52" s="142">
        <f t="shared" si="0"/>
        <v>40</v>
      </c>
      <c r="E52" s="60">
        <v>11</v>
      </c>
      <c r="F52" s="136">
        <f t="shared" si="1"/>
        <v>27.500000000000004</v>
      </c>
      <c r="G52" s="6">
        <v>16</v>
      </c>
      <c r="H52" s="140">
        <f t="shared" si="2"/>
        <v>40</v>
      </c>
      <c r="I52" s="46">
        <v>13</v>
      </c>
      <c r="J52" s="138">
        <f t="shared" si="3"/>
        <v>32.5</v>
      </c>
      <c r="K52" s="46">
        <v>14</v>
      </c>
      <c r="L52" s="141">
        <f t="shared" si="9"/>
        <v>35</v>
      </c>
      <c r="M52" s="136">
        <v>17</v>
      </c>
      <c r="N52" s="141">
        <f t="shared" si="5"/>
        <v>42.5</v>
      </c>
      <c r="O52" s="136">
        <f t="shared" si="10"/>
        <v>217.5</v>
      </c>
      <c r="P52" s="42">
        <f t="shared" si="11"/>
        <v>36.25</v>
      </c>
      <c r="Q52" s="22"/>
    </row>
    <row r="53" spans="1:17" ht="17.399999999999999">
      <c r="A53" s="149">
        <v>46</v>
      </c>
      <c r="B53" s="22"/>
      <c r="C53" s="22"/>
      <c r="D53" s="37"/>
      <c r="E53" s="22"/>
      <c r="F53" s="37"/>
      <c r="G53" s="22"/>
      <c r="H53" s="140"/>
      <c r="I53" s="22"/>
      <c r="J53" s="40"/>
      <c r="K53" s="22"/>
      <c r="L53" s="37"/>
      <c r="M53" s="37"/>
      <c r="N53" s="37"/>
      <c r="O53" s="37"/>
      <c r="P53" s="39"/>
      <c r="Q53" s="22"/>
    </row>
    <row r="54" spans="1:17" ht="17.399999999999999">
      <c r="A54" s="44">
        <v>42</v>
      </c>
      <c r="B54" s="18"/>
      <c r="C54" s="22"/>
      <c r="D54" s="37" t="str">
        <f t="shared" ref="D54:D63" si="12">IF(C54="","",IF(C54="AB",AB,IF(C54="TC","TC",(C54/D$6)*100)))</f>
        <v/>
      </c>
      <c r="E54" s="22"/>
      <c r="F54" s="37" t="str">
        <f t="shared" ref="F54:F63" si="13">IF(E54="","",IF(E54="AB",AB,IF(E54="TC","TC",(E54/F$6)*100)))</f>
        <v/>
      </c>
      <c r="G54" s="22"/>
      <c r="H54" s="140" t="str">
        <f>IF(G54="","",IF(G54="AB",AB,IF(G54="TC","TC",(G54/H$6)*100)))</f>
        <v/>
      </c>
      <c r="I54" s="22"/>
      <c r="J54" s="40"/>
      <c r="K54" s="22"/>
      <c r="L54" s="37"/>
      <c r="M54" s="37"/>
      <c r="N54" s="37"/>
      <c r="O54" s="37"/>
      <c r="P54" s="39"/>
      <c r="Q54" s="22" t="str">
        <f t="shared" ref="Q54:Q62" si="14">IF(P54=0,"",IF(T54="FAIL","FAIL","PASS"))</f>
        <v/>
      </c>
    </row>
    <row r="55" spans="1:17" ht="17.399999999999999">
      <c r="A55" s="44">
        <v>43</v>
      </c>
      <c r="B55" s="22"/>
      <c r="C55" s="22"/>
      <c r="D55" s="37" t="str">
        <f t="shared" si="12"/>
        <v/>
      </c>
      <c r="E55" s="22"/>
      <c r="F55" s="37" t="str">
        <f t="shared" si="13"/>
        <v/>
      </c>
      <c r="G55" s="22"/>
      <c r="H55" s="38"/>
      <c r="I55" s="22"/>
      <c r="J55" s="40"/>
      <c r="K55" s="22"/>
      <c r="L55" s="37"/>
      <c r="M55" s="37"/>
      <c r="N55" s="37"/>
      <c r="O55" s="37"/>
      <c r="P55" s="39"/>
      <c r="Q55" s="22" t="str">
        <f t="shared" si="14"/>
        <v/>
      </c>
    </row>
    <row r="56" spans="1:17" ht="17.399999999999999">
      <c r="A56" s="44">
        <v>44</v>
      </c>
      <c r="B56" s="22"/>
      <c r="C56" s="22"/>
      <c r="D56" s="37" t="str">
        <f t="shared" si="12"/>
        <v/>
      </c>
      <c r="E56" s="22"/>
      <c r="F56" s="37" t="str">
        <f t="shared" si="13"/>
        <v/>
      </c>
      <c r="G56" s="22"/>
      <c r="H56" s="38"/>
      <c r="I56" s="22"/>
      <c r="J56" s="40"/>
      <c r="K56" s="22"/>
      <c r="L56" s="37"/>
      <c r="M56" s="37"/>
      <c r="N56" s="37"/>
      <c r="O56" s="37"/>
      <c r="P56" s="39"/>
      <c r="Q56" s="22" t="str">
        <f t="shared" si="14"/>
        <v/>
      </c>
    </row>
    <row r="57" spans="1:17" ht="17.399999999999999">
      <c r="A57" s="44">
        <v>45</v>
      </c>
      <c r="B57" s="22"/>
      <c r="C57" s="22"/>
      <c r="D57" s="37" t="str">
        <f t="shared" si="12"/>
        <v/>
      </c>
      <c r="E57" s="22"/>
      <c r="F57" s="37" t="str">
        <f t="shared" si="13"/>
        <v/>
      </c>
      <c r="G57" s="22"/>
      <c r="H57" s="38"/>
      <c r="I57" s="22"/>
      <c r="J57" s="40"/>
      <c r="K57" s="22"/>
      <c r="L57" s="37"/>
      <c r="M57" s="37"/>
      <c r="N57" s="37"/>
      <c r="O57" s="37"/>
      <c r="P57" s="39"/>
      <c r="Q57" s="22" t="str">
        <f t="shared" si="14"/>
        <v/>
      </c>
    </row>
    <row r="58" spans="1:17" ht="17.399999999999999">
      <c r="A58" s="44">
        <v>46</v>
      </c>
      <c r="B58" s="22"/>
      <c r="C58" s="37"/>
      <c r="D58" s="37" t="str">
        <f t="shared" si="12"/>
        <v/>
      </c>
      <c r="E58" s="37"/>
      <c r="F58" s="37" t="str">
        <f t="shared" si="13"/>
        <v/>
      </c>
      <c r="G58" s="38"/>
      <c r="H58" s="38"/>
      <c r="I58" s="22"/>
      <c r="J58" s="40"/>
      <c r="K58" s="37"/>
      <c r="L58" s="37"/>
      <c r="M58" s="37"/>
      <c r="N58" s="37"/>
      <c r="O58" s="37"/>
      <c r="P58" s="39"/>
      <c r="Q58" s="22" t="str">
        <f t="shared" si="14"/>
        <v/>
      </c>
    </row>
    <row r="59" spans="1:17" ht="17.399999999999999">
      <c r="A59" s="44">
        <v>47</v>
      </c>
      <c r="B59" s="22"/>
      <c r="C59" s="37"/>
      <c r="D59" s="37" t="str">
        <f t="shared" si="12"/>
        <v/>
      </c>
      <c r="E59" s="37"/>
      <c r="F59" s="37" t="str">
        <f t="shared" si="13"/>
        <v/>
      </c>
      <c r="G59" s="38"/>
      <c r="H59" s="38"/>
      <c r="I59" s="22"/>
      <c r="J59" s="40"/>
      <c r="K59" s="37"/>
      <c r="L59" s="37"/>
      <c r="M59" s="37"/>
      <c r="N59" s="37"/>
      <c r="O59" s="37"/>
      <c r="P59" s="39"/>
      <c r="Q59" s="22" t="str">
        <f t="shared" si="14"/>
        <v/>
      </c>
    </row>
    <row r="60" spans="1:17" ht="17.399999999999999">
      <c r="A60" s="44">
        <v>48</v>
      </c>
      <c r="B60" s="22"/>
      <c r="C60" s="37"/>
      <c r="D60" s="37" t="str">
        <f t="shared" si="12"/>
        <v/>
      </c>
      <c r="E60" s="37"/>
      <c r="F60" s="37" t="str">
        <f t="shared" si="13"/>
        <v/>
      </c>
      <c r="G60" s="38"/>
      <c r="H60" s="38"/>
      <c r="I60" s="22"/>
      <c r="J60" s="40"/>
      <c r="K60" s="37"/>
      <c r="L60" s="37"/>
      <c r="M60" s="37"/>
      <c r="N60" s="37"/>
      <c r="O60" s="37"/>
      <c r="P60" s="39"/>
      <c r="Q60" s="22" t="str">
        <f t="shared" si="14"/>
        <v/>
      </c>
    </row>
    <row r="61" spans="1:17" ht="17.399999999999999">
      <c r="A61" s="44">
        <v>49</v>
      </c>
      <c r="B61" s="22"/>
      <c r="C61" s="37"/>
      <c r="D61" s="37" t="str">
        <f t="shared" si="12"/>
        <v/>
      </c>
      <c r="E61" s="37"/>
      <c r="F61" s="37" t="str">
        <f t="shared" si="13"/>
        <v/>
      </c>
      <c r="G61" s="38"/>
      <c r="H61" s="38"/>
      <c r="I61" s="22"/>
      <c r="J61" s="40"/>
      <c r="K61" s="37"/>
      <c r="L61" s="37"/>
      <c r="M61" s="37"/>
      <c r="N61" s="37"/>
      <c r="O61" s="37"/>
      <c r="P61" s="39"/>
      <c r="Q61" s="22" t="str">
        <f t="shared" si="14"/>
        <v/>
      </c>
    </row>
    <row r="62" spans="1:17" ht="17.399999999999999">
      <c r="A62" s="44">
        <v>50</v>
      </c>
      <c r="B62" s="22"/>
      <c r="C62" s="37"/>
      <c r="D62" s="37" t="str">
        <f t="shared" si="12"/>
        <v/>
      </c>
      <c r="E62" s="37"/>
      <c r="F62" s="37" t="str">
        <f t="shared" si="13"/>
        <v/>
      </c>
      <c r="G62" s="38"/>
      <c r="H62" s="38"/>
      <c r="I62" s="22"/>
      <c r="J62" s="40"/>
      <c r="K62" s="37"/>
      <c r="L62" s="37"/>
      <c r="M62" s="37"/>
      <c r="N62" s="37"/>
      <c r="O62" s="37"/>
      <c r="P62" s="39"/>
      <c r="Q62" s="22" t="str">
        <f t="shared" si="14"/>
        <v/>
      </c>
    </row>
    <row r="63" spans="1:17" ht="17.399999999999999">
      <c r="A63" s="361" t="s">
        <v>70</v>
      </c>
      <c r="B63" s="362"/>
      <c r="C63" s="42">
        <f>IF(C66=0,"",SUM(C8:C62)/C66)</f>
        <v>28.733333333333334</v>
      </c>
      <c r="D63" s="136">
        <f t="shared" si="12"/>
        <v>71.833333333333343</v>
      </c>
      <c r="E63" s="39"/>
      <c r="F63" s="39" t="str">
        <f t="shared" si="13"/>
        <v/>
      </c>
      <c r="G63" s="42">
        <f>IF(G66=0,"",SUM(G8:G62)/G66)</f>
        <v>23.68888888888889</v>
      </c>
      <c r="H63" s="42">
        <f>IF(G63="","",IF(G63="AB",AB,IF(G63="TC","TC",(G63/H$6)*100)))</f>
        <v>59.222222222222221</v>
      </c>
      <c r="I63" s="42">
        <f>IF(I66=0,"",SUM(I8:I62)/I66)</f>
        <v>31.2</v>
      </c>
      <c r="J63" s="42">
        <f>IF(I63="","",IF(I63="AB",AB,IF(I63="TC","TC",(I63/J$6)*100)))</f>
        <v>78</v>
      </c>
      <c r="K63" s="42">
        <f>IF(K66=0,"",SUM(K8:K62)/K66)</f>
        <v>30.40909090909091</v>
      </c>
      <c r="L63" s="42">
        <f>IF(K63="","",IF(K63="AB",AB,IF(K63="TC","TC",(K63/L$6)*100)))</f>
        <v>76.02272727272728</v>
      </c>
      <c r="M63" s="39"/>
      <c r="N63" s="39" t="str">
        <f>IF(M63="","",IF(M63="AB",AB,IF(M63="TC","TC",(M63/N$6)*100)))</f>
        <v/>
      </c>
      <c r="O63" s="42">
        <f>IF(O66=0,"",SUM(O8:O62)/O66)</f>
        <v>415.39772727272725</v>
      </c>
      <c r="P63" s="42">
        <f>IF(O66=0,"",SUM(P8:P62)/O66)</f>
        <v>69.232954545454561</v>
      </c>
      <c r="Q63" s="39"/>
    </row>
    <row r="64" spans="1:17" ht="34.799999999999997">
      <c r="A64" s="387" t="s">
        <v>71</v>
      </c>
      <c r="B64" s="107" t="s">
        <v>72</v>
      </c>
      <c r="C64" s="359">
        <f>COUNTA(C8:C62)</f>
        <v>45</v>
      </c>
      <c r="D64" s="360"/>
      <c r="E64" s="359">
        <f>COUNTA(E8:E62)</f>
        <v>45</v>
      </c>
      <c r="F64" s="360"/>
      <c r="G64" s="359">
        <f>COUNTA(G8:G62)</f>
        <v>45</v>
      </c>
      <c r="H64" s="360"/>
      <c r="I64" s="359">
        <f>COUNTA(I8:I62)</f>
        <v>45</v>
      </c>
      <c r="J64" s="360"/>
      <c r="K64" s="359">
        <f>COUNTA(K8:K62)</f>
        <v>45</v>
      </c>
      <c r="L64" s="360"/>
      <c r="M64" s="359">
        <f>COUNTA(M8:M62)</f>
        <v>45</v>
      </c>
      <c r="N64" s="360"/>
      <c r="O64" s="395"/>
      <c r="P64" s="378"/>
      <c r="Q64" s="360"/>
    </row>
    <row r="65" spans="1:17" ht="17.399999999999999">
      <c r="A65" s="381"/>
      <c r="B65" s="45" t="s">
        <v>73</v>
      </c>
      <c r="C65" s="361">
        <f>C64-C66</f>
        <v>0</v>
      </c>
      <c r="D65" s="362"/>
      <c r="E65" s="361">
        <f>E64-E66</f>
        <v>0</v>
      </c>
      <c r="F65" s="362"/>
      <c r="G65" s="361">
        <f>G64-G66</f>
        <v>0</v>
      </c>
      <c r="H65" s="362"/>
      <c r="I65" s="361">
        <f>I64-I66</f>
        <v>0</v>
      </c>
      <c r="J65" s="362"/>
      <c r="K65" s="361">
        <f>K64-K66</f>
        <v>1</v>
      </c>
      <c r="L65" s="362"/>
      <c r="M65" s="361">
        <f>M64-M66</f>
        <v>0</v>
      </c>
      <c r="N65" s="362"/>
      <c r="O65" s="361">
        <f>COUNTIF(R8:R62,0)</f>
        <v>0</v>
      </c>
      <c r="P65" s="364"/>
      <c r="Q65" s="362"/>
    </row>
    <row r="66" spans="1:17" ht="17.399999999999999">
      <c r="A66" s="381"/>
      <c r="B66" s="46" t="s">
        <v>74</v>
      </c>
      <c r="C66" s="361">
        <f>COUNTIFS(D8:D62,"&gt;0")</f>
        <v>45</v>
      </c>
      <c r="D66" s="362"/>
      <c r="E66" s="361">
        <f>COUNTIFS(F8:F62,"&gt;0")</f>
        <v>45</v>
      </c>
      <c r="F66" s="362"/>
      <c r="G66" s="361">
        <f>COUNTIFS(H8:H62,"&gt;0")</f>
        <v>45</v>
      </c>
      <c r="H66" s="362"/>
      <c r="I66" s="361">
        <f>COUNTIFS(J8:J62,"&gt;0")</f>
        <v>45</v>
      </c>
      <c r="J66" s="362"/>
      <c r="K66" s="361">
        <f>COUNTIFS(L8:L62,"&gt;0")</f>
        <v>44</v>
      </c>
      <c r="L66" s="362"/>
      <c r="M66" s="361">
        <f>COUNTIFS(N8:N62,"&gt;0")</f>
        <v>45</v>
      </c>
      <c r="N66" s="362"/>
      <c r="O66" s="361">
        <f>COUNTIFS(P8:P62,"&gt;0")</f>
        <v>44</v>
      </c>
      <c r="P66" s="364"/>
      <c r="Q66" s="362"/>
    </row>
    <row r="67" spans="1:17" ht="17.399999999999999">
      <c r="A67" s="381"/>
      <c r="B67" s="46" t="s">
        <v>75</v>
      </c>
      <c r="C67" s="361">
        <f>C66-C69</f>
        <v>45</v>
      </c>
      <c r="D67" s="362"/>
      <c r="E67" s="361">
        <f>E66-E69</f>
        <v>42</v>
      </c>
      <c r="F67" s="362"/>
      <c r="G67" s="361">
        <f>G66-G69</f>
        <v>43</v>
      </c>
      <c r="H67" s="362"/>
      <c r="I67" s="361">
        <f>I66-I69</f>
        <v>45</v>
      </c>
      <c r="J67" s="362"/>
      <c r="K67" s="361">
        <f>K66-K69</f>
        <v>44</v>
      </c>
      <c r="L67" s="362"/>
      <c r="M67" s="361">
        <f>M66-M69</f>
        <v>42</v>
      </c>
      <c r="N67" s="362"/>
      <c r="O67" s="361">
        <f>COUNTIF(Q8:Q62,"PASS")</f>
        <v>43</v>
      </c>
      <c r="P67" s="364"/>
      <c r="Q67" s="362"/>
    </row>
    <row r="68" spans="1:17" ht="17.399999999999999">
      <c r="A68" s="381"/>
      <c r="B68" s="46" t="s">
        <v>76</v>
      </c>
      <c r="C68" s="363">
        <f>IF(C66=0,"",(C67/C66)*100)</f>
        <v>100</v>
      </c>
      <c r="D68" s="362"/>
      <c r="E68" s="363">
        <f>IF(E66=0,"",(E67/E66)*100)</f>
        <v>93.333333333333329</v>
      </c>
      <c r="F68" s="362"/>
      <c r="G68" s="363">
        <f>IF(G66=0,"",(G67/G66)*100)</f>
        <v>95.555555555555557</v>
      </c>
      <c r="H68" s="362"/>
      <c r="I68" s="363">
        <f>IF(I66=0,"",(I67/I66)*100)</f>
        <v>100</v>
      </c>
      <c r="J68" s="362"/>
      <c r="K68" s="363">
        <f>IF(K66=0,"",(K67/K66)*100)</f>
        <v>100</v>
      </c>
      <c r="L68" s="362"/>
      <c r="M68" s="363">
        <f>IF(M66=0,"",(M67/M66)*100)</f>
        <v>93.333333333333329</v>
      </c>
      <c r="N68" s="362"/>
      <c r="O68" s="363">
        <f>IF(O66=0,"",(O67/O66)*100)</f>
        <v>97.727272727272734</v>
      </c>
      <c r="P68" s="364"/>
      <c r="Q68" s="362"/>
    </row>
    <row r="69" spans="1:17" ht="17.399999999999999">
      <c r="A69" s="381"/>
      <c r="B69" s="46" t="s">
        <v>77</v>
      </c>
      <c r="C69" s="361">
        <f>COUNTIFS(D8:D62,"&lt;=32",D8:D62,"&gt; 0")</f>
        <v>0</v>
      </c>
      <c r="D69" s="362"/>
      <c r="E69" s="361">
        <f>COUNTIFS(F8:F62,"&lt;=32",F8:F62,"&gt; 0")</f>
        <v>3</v>
      </c>
      <c r="F69" s="362"/>
      <c r="G69" s="361">
        <f>COUNTIFS(H8:H62,"&lt;=32",H8:H62,"&gt; 0")</f>
        <v>2</v>
      </c>
      <c r="H69" s="362"/>
      <c r="I69" s="361">
        <f>COUNTIFS(J8:J62,"&lt;=32",J8:J62,"&gt; 0")</f>
        <v>0</v>
      </c>
      <c r="J69" s="362"/>
      <c r="K69" s="361">
        <f>COUNTIFS(L8:L62,"&lt;=32",L8:L62,"&gt; 0")</f>
        <v>0</v>
      </c>
      <c r="L69" s="362"/>
      <c r="M69" s="361">
        <f>COUNTIFS(N8:N62,"&lt;=32",N8:N62,"&gt; 0")</f>
        <v>3</v>
      </c>
      <c r="N69" s="362"/>
      <c r="O69" s="361">
        <f>COUNTIFS(P8:P62,"&lt;=32",P8:P62,"&gt; 0")</f>
        <v>0</v>
      </c>
      <c r="P69" s="364"/>
      <c r="Q69" s="362"/>
    </row>
    <row r="70" spans="1:17" ht="17.399999999999999">
      <c r="A70" s="381"/>
      <c r="B70" s="46" t="s">
        <v>78</v>
      </c>
      <c r="C70" s="361">
        <f>COUNTIFS(D8:D62,"&gt;=32.1",D8:D62,"&lt;=44")</f>
        <v>3</v>
      </c>
      <c r="D70" s="362"/>
      <c r="E70" s="361">
        <f>COUNTIFS(F8:F62,"&gt;=32.1",F8:F62,"&lt;=44")</f>
        <v>2</v>
      </c>
      <c r="F70" s="362"/>
      <c r="G70" s="361">
        <f>COUNTIFS(H8:H62,"&gt;=32.1",H8:H62,"&lt;=44")</f>
        <v>10</v>
      </c>
      <c r="H70" s="362"/>
      <c r="I70" s="361">
        <f>COUNTIFS(J8:J62,"&gt;=32.1",J8:J62,"&lt;=44")</f>
        <v>3</v>
      </c>
      <c r="J70" s="362"/>
      <c r="K70" s="361">
        <f>COUNTIFS(L8:L62,"&gt;=32.1",L8:L62,"&lt;=44")</f>
        <v>2</v>
      </c>
      <c r="L70" s="362"/>
      <c r="M70" s="361">
        <f>COUNTIFS(N8:N62,"&gt;=32.1",N8:N62,"&lt;=44")</f>
        <v>1</v>
      </c>
      <c r="N70" s="362"/>
      <c r="O70" s="361">
        <f>COUNTIFS(P8:P62,"&gt;=32.1",P8:P62,"&lt;=44")</f>
        <v>3</v>
      </c>
      <c r="P70" s="364"/>
      <c r="Q70" s="362"/>
    </row>
    <row r="71" spans="1:17" ht="17.399999999999999">
      <c r="A71" s="381"/>
      <c r="B71" s="46" t="s">
        <v>79</v>
      </c>
      <c r="C71" s="361">
        <f>COUNTIFS(D8:D62,"&gt;=44.1",D8:D62,"&lt;=59")</f>
        <v>10</v>
      </c>
      <c r="D71" s="362"/>
      <c r="E71" s="361">
        <f>COUNTIFS(F8:F62,"&gt;=44.1",F8:F62,"&lt;=59")</f>
        <v>13</v>
      </c>
      <c r="F71" s="362"/>
      <c r="G71" s="361">
        <f>COUNTIFS(H8:H62,"&gt;=44.1",H8:H62,"&lt;=59")</f>
        <v>9</v>
      </c>
      <c r="H71" s="362"/>
      <c r="I71" s="361">
        <f>COUNTIFS(J8:J62,"&gt;=44.1",J8:J62,"&lt;=59")</f>
        <v>3</v>
      </c>
      <c r="J71" s="362"/>
      <c r="K71" s="361">
        <f>COUNTIFS(L8:L62,"&gt;=44.1",L8:L62,"&lt;=59")</f>
        <v>6</v>
      </c>
      <c r="L71" s="362"/>
      <c r="M71" s="361">
        <f>COUNTIFS(N8:N62,"&gt;=44.1",N8:N62,"&lt;=59")</f>
        <v>10</v>
      </c>
      <c r="N71" s="362"/>
      <c r="O71" s="361">
        <f>COUNTIFS(P8:P62,"&gt;=44.1",P8:P62,"&lt;=59")</f>
        <v>10</v>
      </c>
      <c r="P71" s="364"/>
      <c r="Q71" s="362"/>
    </row>
    <row r="72" spans="1:17" ht="17.399999999999999">
      <c r="A72" s="381"/>
      <c r="B72" s="46" t="s">
        <v>80</v>
      </c>
      <c r="C72" s="361">
        <f>COUNTIFS(D8:D62,"&gt;=59.1",D8:D62,"&lt;=74")</f>
        <v>9</v>
      </c>
      <c r="D72" s="362"/>
      <c r="E72" s="361">
        <f>COUNTIFS(F8:F62,"&gt;=59.1",F8:F62,"&lt;=74")</f>
        <v>8</v>
      </c>
      <c r="F72" s="362"/>
      <c r="G72" s="361">
        <f>COUNTIFS(H8:H62,"&gt;=59.1",H8:H62,"&lt;=74")</f>
        <v>8</v>
      </c>
      <c r="H72" s="362"/>
      <c r="I72" s="361">
        <f>COUNTIFS(J8:J62,"&gt;=59.1",J8:J62,"&lt;=74")</f>
        <v>13</v>
      </c>
      <c r="J72" s="362"/>
      <c r="K72" s="361">
        <f>COUNTIFS(L8:L62,"&gt;=59.1",L8:L62,"&lt;=74")</f>
        <v>12</v>
      </c>
      <c r="L72" s="362"/>
      <c r="M72" s="361">
        <f>COUNTIFS(N8:N62,"&gt;=59.1",N8:N62,"&lt;=74")</f>
        <v>10</v>
      </c>
      <c r="N72" s="362"/>
      <c r="O72" s="361">
        <f>COUNTIFS(P8:P62,"&gt;=59.1",P8:P62,"&lt;=74")</f>
        <v>8</v>
      </c>
      <c r="P72" s="364"/>
      <c r="Q72" s="362"/>
    </row>
    <row r="73" spans="1:17" ht="17.399999999999999">
      <c r="A73" s="381"/>
      <c r="B73" s="46" t="s">
        <v>81</v>
      </c>
      <c r="C73" s="361">
        <f>COUNTIFS(D8:D62,"&gt;=74.1",D8:D62,"&lt;89")</f>
        <v>14</v>
      </c>
      <c r="D73" s="362"/>
      <c r="E73" s="361">
        <f>COUNTIFS(F8:F62,"&gt;=74.1",F8:F62,"&lt;89")</f>
        <v>12</v>
      </c>
      <c r="F73" s="362"/>
      <c r="G73" s="361">
        <f>COUNTIFS(H8:H62,"&gt;=74.1",H8:H62,"&lt;89")</f>
        <v>15</v>
      </c>
      <c r="H73" s="362"/>
      <c r="I73" s="361">
        <f>COUNTIFS(J8:J62,"&gt;=74.1",J8:J62,"&lt;89")</f>
        <v>9</v>
      </c>
      <c r="J73" s="362"/>
      <c r="K73" s="361">
        <f>COUNTIFS(L8:L62,"&gt;=74.1",L8:L62,"&lt;89")</f>
        <v>14</v>
      </c>
      <c r="L73" s="362"/>
      <c r="M73" s="361">
        <f>COUNTIFS(N8:N62,"&gt;=74.1",N8:N62,"&lt;89")</f>
        <v>14</v>
      </c>
      <c r="N73" s="362"/>
      <c r="O73" s="361">
        <f>COUNTIFS(P8:P62,"&gt;=74.1",P8:P62,"&lt;89")</f>
        <v>19</v>
      </c>
      <c r="P73" s="364"/>
      <c r="Q73" s="362"/>
    </row>
    <row r="74" spans="1:17" ht="17.399999999999999">
      <c r="A74" s="382"/>
      <c r="B74" s="48" t="s">
        <v>82</v>
      </c>
      <c r="C74" s="370">
        <f>COUNTIF(D8:D62,"&gt;=89.1")</f>
        <v>9</v>
      </c>
      <c r="D74" s="371"/>
      <c r="E74" s="370">
        <f>COUNTIF(F8:F62,"&gt;=89.1")</f>
        <v>7</v>
      </c>
      <c r="F74" s="371"/>
      <c r="G74" s="370">
        <f>COUNTIF(H8:H62,"&gt;=89.1")</f>
        <v>1</v>
      </c>
      <c r="H74" s="371"/>
      <c r="I74" s="370">
        <f>COUNTIF(J8:J62,"&gt;=89.1")</f>
        <v>17</v>
      </c>
      <c r="J74" s="371"/>
      <c r="K74" s="370">
        <f>COUNTIF(L8:L62,"&gt;=89.1")</f>
        <v>10</v>
      </c>
      <c r="L74" s="371"/>
      <c r="M74" s="370">
        <f>COUNTIF(N8:N62,"&gt;=89.1")</f>
        <v>7</v>
      </c>
      <c r="N74" s="371"/>
      <c r="O74" s="361">
        <f>COUNTIF(P8:P62,"&gt;=89.1")</f>
        <v>4</v>
      </c>
      <c r="P74" s="364"/>
      <c r="Q74" s="362"/>
    </row>
    <row r="75" spans="1:17" ht="17.399999999999999">
      <c r="A75" s="388" t="s">
        <v>83</v>
      </c>
      <c r="B75" s="364"/>
      <c r="C75" s="372"/>
      <c r="D75" s="362"/>
      <c r="E75" s="372"/>
      <c r="F75" s="362"/>
      <c r="G75" s="372"/>
      <c r="H75" s="362"/>
      <c r="I75" s="372"/>
      <c r="J75" s="362"/>
      <c r="K75" s="372"/>
      <c r="L75" s="362"/>
      <c r="M75" s="372"/>
      <c r="N75" s="362"/>
      <c r="O75" s="367" t="s">
        <v>84</v>
      </c>
      <c r="P75" s="364"/>
      <c r="Q75" s="82">
        <f>IF(O66=0,"",O65/O66*100)</f>
        <v>0</v>
      </c>
    </row>
    <row r="76" spans="1:17" ht="17.399999999999999">
      <c r="A76" s="398" t="s">
        <v>85</v>
      </c>
      <c r="B76" s="369"/>
      <c r="C76" s="396" t="s">
        <v>332</v>
      </c>
      <c r="D76" s="369"/>
      <c r="E76" s="51"/>
      <c r="F76" s="397" t="s">
        <v>333</v>
      </c>
      <c r="G76" s="369"/>
      <c r="H76" s="369"/>
      <c r="I76" s="51"/>
      <c r="J76" s="51"/>
      <c r="K76" s="51"/>
      <c r="L76" s="51"/>
      <c r="M76" s="394" t="s">
        <v>334</v>
      </c>
      <c r="N76" s="369"/>
      <c r="O76" s="369"/>
      <c r="P76" s="369"/>
      <c r="Q76" s="369"/>
    </row>
  </sheetData>
  <mergeCells count="110">
    <mergeCell ref="C76:D76"/>
    <mergeCell ref="F76:H76"/>
    <mergeCell ref="A75:B75"/>
    <mergeCell ref="C75:D75"/>
    <mergeCell ref="E75:F75"/>
    <mergeCell ref="G75:H75"/>
    <mergeCell ref="I75:J75"/>
    <mergeCell ref="K75:L75"/>
    <mergeCell ref="A76:B76"/>
    <mergeCell ref="A63:B63"/>
    <mergeCell ref="A64:A74"/>
    <mergeCell ref="E64:F64"/>
    <mergeCell ref="G64:H64"/>
    <mergeCell ref="K65:L65"/>
    <mergeCell ref="K69:L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C73:D73"/>
    <mergeCell ref="E73:F73"/>
    <mergeCell ref="G73:H73"/>
    <mergeCell ref="M67:N67"/>
    <mergeCell ref="O67:Q67"/>
    <mergeCell ref="O68:Q68"/>
    <mergeCell ref="K73:L73"/>
    <mergeCell ref="C74:D74"/>
    <mergeCell ref="E74:F74"/>
    <mergeCell ref="G74:H74"/>
    <mergeCell ref="I74:J74"/>
    <mergeCell ref="K74:L74"/>
    <mergeCell ref="I73:J73"/>
    <mergeCell ref="M64:N64"/>
    <mergeCell ref="O64:Q64"/>
    <mergeCell ref="C65:D65"/>
    <mergeCell ref="E65:F65"/>
    <mergeCell ref="G65:H65"/>
    <mergeCell ref="I65:J65"/>
    <mergeCell ref="M65:N65"/>
    <mergeCell ref="O65:Q65"/>
    <mergeCell ref="E66:F66"/>
    <mergeCell ref="G66:H66"/>
    <mergeCell ref="M66:N66"/>
    <mergeCell ref="O66:Q66"/>
    <mergeCell ref="A1:Q1"/>
    <mergeCell ref="A2:D2"/>
    <mergeCell ref="E2:J2"/>
    <mergeCell ref="K2:Q2"/>
    <mergeCell ref="A3:B3"/>
    <mergeCell ref="C3:D3"/>
    <mergeCell ref="E3:J3"/>
    <mergeCell ref="M5:N5"/>
    <mergeCell ref="O5:P5"/>
    <mergeCell ref="K3:Q3"/>
    <mergeCell ref="A4:Q4"/>
    <mergeCell ref="A5:A7"/>
    <mergeCell ref="B5:B7"/>
    <mergeCell ref="C5:D5"/>
    <mergeCell ref="E5:F5"/>
    <mergeCell ref="G5:H5"/>
    <mergeCell ref="Q5:Q7"/>
    <mergeCell ref="I5:J5"/>
    <mergeCell ref="K5:L5"/>
    <mergeCell ref="M68:N68"/>
    <mergeCell ref="M69:N69"/>
    <mergeCell ref="O69:Q69"/>
    <mergeCell ref="M70:N70"/>
    <mergeCell ref="O70:Q70"/>
    <mergeCell ref="M71:N71"/>
    <mergeCell ref="O71:Q71"/>
    <mergeCell ref="O75:P75"/>
    <mergeCell ref="M76:Q76"/>
    <mergeCell ref="M72:N72"/>
    <mergeCell ref="O72:Q72"/>
    <mergeCell ref="M73:N73"/>
    <mergeCell ref="O73:Q73"/>
    <mergeCell ref="M74:N74"/>
    <mergeCell ref="O74:Q74"/>
    <mergeCell ref="M75:N75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C64:D64"/>
    <mergeCell ref="C66:D66"/>
    <mergeCell ref="I66:J66"/>
    <mergeCell ref="K66:L66"/>
    <mergeCell ref="C67:D67"/>
    <mergeCell ref="E67:F67"/>
    <mergeCell ref="G67:H67"/>
    <mergeCell ref="I67:J67"/>
    <mergeCell ref="K67:L67"/>
    <mergeCell ref="I64:J64"/>
    <mergeCell ref="K64:L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Q73"/>
  <sheetViews>
    <sheetView workbookViewId="0"/>
  </sheetViews>
  <sheetFormatPr defaultColWidth="12.6640625" defaultRowHeight="15.75" customHeight="1"/>
  <cols>
    <col min="2" max="2" width="24.21875" customWidth="1"/>
  </cols>
  <sheetData>
    <row r="1" spans="1:17" ht="15.75" customHeight="1">
      <c r="A1" s="399" t="s">
        <v>87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</row>
    <row r="2" spans="1:17" ht="15.75" customHeight="1">
      <c r="A2" s="373" t="s">
        <v>0</v>
      </c>
      <c r="B2" s="366"/>
      <c r="C2" s="366"/>
      <c r="D2" s="366"/>
      <c r="E2" s="374" t="s">
        <v>1</v>
      </c>
      <c r="F2" s="366"/>
      <c r="G2" s="366"/>
      <c r="H2" s="366"/>
      <c r="I2" s="366"/>
      <c r="J2" s="366"/>
      <c r="K2" s="375" t="s">
        <v>2</v>
      </c>
      <c r="L2" s="366"/>
      <c r="M2" s="366"/>
      <c r="N2" s="366"/>
      <c r="O2" s="366"/>
      <c r="P2" s="366"/>
      <c r="Q2" s="366"/>
    </row>
    <row r="3" spans="1:17" ht="15.75" customHeight="1">
      <c r="A3" s="383" t="s">
        <v>335</v>
      </c>
      <c r="B3" s="366"/>
      <c r="C3" s="376"/>
      <c r="D3" s="366"/>
      <c r="E3" s="374" t="s">
        <v>4</v>
      </c>
      <c r="F3" s="366"/>
      <c r="G3" s="366"/>
      <c r="H3" s="366"/>
      <c r="I3" s="366"/>
      <c r="J3" s="366"/>
      <c r="K3" s="374" t="s">
        <v>5</v>
      </c>
      <c r="L3" s="366"/>
      <c r="M3" s="366"/>
      <c r="N3" s="366"/>
      <c r="O3" s="366"/>
      <c r="P3" s="366"/>
      <c r="Q3" s="366"/>
    </row>
    <row r="4" spans="1:17" ht="15.75" customHeight="1">
      <c r="A4" s="377" t="s">
        <v>336</v>
      </c>
      <c r="B4" s="378"/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8"/>
      <c r="O4" s="378"/>
      <c r="P4" s="378"/>
      <c r="Q4" s="378"/>
    </row>
    <row r="5" spans="1:17">
      <c r="A5" s="384" t="s">
        <v>7</v>
      </c>
      <c r="B5" s="385" t="s">
        <v>8</v>
      </c>
      <c r="C5" s="379" t="s">
        <v>9</v>
      </c>
      <c r="D5" s="360"/>
      <c r="E5" s="379" t="s">
        <v>337</v>
      </c>
      <c r="F5" s="360"/>
      <c r="G5" s="379" t="s">
        <v>11</v>
      </c>
      <c r="H5" s="360"/>
      <c r="I5" s="379" t="s">
        <v>12</v>
      </c>
      <c r="J5" s="360"/>
      <c r="K5" s="379" t="s">
        <v>13</v>
      </c>
      <c r="L5" s="360"/>
      <c r="M5" s="379" t="s">
        <v>14</v>
      </c>
      <c r="N5" s="360"/>
      <c r="O5" s="367" t="s">
        <v>15</v>
      </c>
      <c r="P5" s="362"/>
      <c r="Q5" s="380" t="s">
        <v>16</v>
      </c>
    </row>
    <row r="6" spans="1:17">
      <c r="A6" s="381"/>
      <c r="B6" s="381"/>
      <c r="C6" s="4" t="s">
        <v>17</v>
      </c>
      <c r="D6" s="5">
        <v>40</v>
      </c>
      <c r="E6" s="4" t="s">
        <v>17</v>
      </c>
      <c r="F6" s="5">
        <v>40</v>
      </c>
      <c r="G6" s="4" t="s">
        <v>17</v>
      </c>
      <c r="H6" s="5">
        <v>40</v>
      </c>
      <c r="I6" s="4" t="s">
        <v>17</v>
      </c>
      <c r="J6" s="5">
        <v>40</v>
      </c>
      <c r="K6" s="4" t="s">
        <v>17</v>
      </c>
      <c r="L6" s="5">
        <v>40</v>
      </c>
      <c r="M6" s="4" t="s">
        <v>17</v>
      </c>
      <c r="N6" s="5">
        <v>40</v>
      </c>
      <c r="O6" s="4" t="s">
        <v>17</v>
      </c>
      <c r="P6" s="5">
        <v>600</v>
      </c>
      <c r="Q6" s="381"/>
    </row>
    <row r="7" spans="1:17">
      <c r="A7" s="382"/>
      <c r="B7" s="382"/>
      <c r="C7" s="6" t="s">
        <v>18</v>
      </c>
      <c r="D7" s="6" t="s">
        <v>19</v>
      </c>
      <c r="E7" s="6" t="s">
        <v>18</v>
      </c>
      <c r="F7" s="6" t="s">
        <v>19</v>
      </c>
      <c r="G7" s="6" t="s">
        <v>18</v>
      </c>
      <c r="H7" s="6" t="s">
        <v>19</v>
      </c>
      <c r="I7" s="6" t="s">
        <v>18</v>
      </c>
      <c r="J7" s="6" t="s">
        <v>19</v>
      </c>
      <c r="K7" s="6" t="s">
        <v>18</v>
      </c>
      <c r="L7" s="6" t="s">
        <v>19</v>
      </c>
      <c r="M7" s="6" t="s">
        <v>18</v>
      </c>
      <c r="N7" s="6" t="s">
        <v>19</v>
      </c>
      <c r="O7" s="6" t="s">
        <v>18</v>
      </c>
      <c r="P7" s="6" t="s">
        <v>19</v>
      </c>
      <c r="Q7" s="382"/>
    </row>
    <row r="8" spans="1:17" ht="15.75" customHeight="1">
      <c r="A8" s="86">
        <v>1</v>
      </c>
      <c r="B8" s="150" t="s">
        <v>338</v>
      </c>
      <c r="C8" s="41">
        <v>28</v>
      </c>
      <c r="D8" s="12">
        <f t="shared" ref="D8:D50" si="0">IF(C8="","",IF(C8="AB",AB,IF(C8="TC","TC",(C8/D$6)*100)))</f>
        <v>70</v>
      </c>
      <c r="E8" s="41">
        <v>26</v>
      </c>
      <c r="F8" s="12">
        <f t="shared" ref="F8:F50" si="1">IF(E8="","",IF(E8="AB",AB,IF(E8="TC","TC",(E8/F$6)*100)))</f>
        <v>65</v>
      </c>
      <c r="G8" s="13">
        <v>30</v>
      </c>
      <c r="H8" s="14">
        <f t="shared" ref="H8:H60" si="2">IF(G8="","",IF(G8="AB",AB,IF(G8="TC","TC",(G8/H$6)*100)))</f>
        <v>75</v>
      </c>
      <c r="I8" s="72">
        <v>22</v>
      </c>
      <c r="J8" s="14">
        <f t="shared" ref="J8:J60" si="3">IF(I8="","",IF(I8="AB",AB,IF(I8="TC","TC",(I8/J$6)*100)))</f>
        <v>55.000000000000007</v>
      </c>
      <c r="K8" s="12">
        <v>34</v>
      </c>
      <c r="L8" s="14">
        <f t="shared" ref="L8:L60" si="4">IF(K8="","",IF(K8="AB",AB,IF(K8="TC","TC",(K8/L$6)*100)))</f>
        <v>85</v>
      </c>
      <c r="M8" s="34">
        <v>18</v>
      </c>
      <c r="N8" s="14">
        <f t="shared" ref="N8:N60" si="5">IF(M8="","",IF(M8="AB",AB,IF(M8="TC","TC",(M8/N$6)*100)))</f>
        <v>45</v>
      </c>
      <c r="O8" s="12">
        <f t="shared" ref="O8:O60" si="6">SUM(D8,F8,H8,J8,L8,N8)</f>
        <v>395</v>
      </c>
      <c r="P8" s="17">
        <f t="shared" ref="P8:P60" si="7">IF(O8="","",IF(O8="AB","AB",(O8/P$6)*100))</f>
        <v>65.833333333333329</v>
      </c>
      <c r="Q8" s="22"/>
    </row>
    <row r="9" spans="1:17" ht="15.75" customHeight="1">
      <c r="A9" s="86">
        <v>2</v>
      </c>
      <c r="B9" s="150" t="s">
        <v>339</v>
      </c>
      <c r="C9" s="41">
        <v>33</v>
      </c>
      <c r="D9" s="12">
        <f t="shared" si="0"/>
        <v>82.5</v>
      </c>
      <c r="E9" s="41">
        <v>30</v>
      </c>
      <c r="F9" s="12">
        <f t="shared" si="1"/>
        <v>75</v>
      </c>
      <c r="G9" s="41">
        <v>35</v>
      </c>
      <c r="H9" s="14">
        <f t="shared" si="2"/>
        <v>87.5</v>
      </c>
      <c r="I9" s="72">
        <v>21</v>
      </c>
      <c r="J9" s="14">
        <f t="shared" si="3"/>
        <v>52.5</v>
      </c>
      <c r="K9" s="14">
        <v>40</v>
      </c>
      <c r="L9" s="14">
        <f t="shared" si="4"/>
        <v>100</v>
      </c>
      <c r="M9" s="34">
        <v>37</v>
      </c>
      <c r="N9" s="14">
        <f t="shared" si="5"/>
        <v>92.5</v>
      </c>
      <c r="O9" s="12">
        <f t="shared" si="6"/>
        <v>490</v>
      </c>
      <c r="P9" s="17">
        <f t="shared" si="7"/>
        <v>81.666666666666671</v>
      </c>
      <c r="Q9" s="22"/>
    </row>
    <row r="10" spans="1:17" ht="15.75" customHeight="1">
      <c r="A10" s="86">
        <v>3</v>
      </c>
      <c r="B10" s="150" t="s">
        <v>340</v>
      </c>
      <c r="C10" s="41">
        <v>35</v>
      </c>
      <c r="D10" s="12">
        <f t="shared" si="0"/>
        <v>87.5</v>
      </c>
      <c r="E10" s="41">
        <v>40</v>
      </c>
      <c r="F10" s="12">
        <f t="shared" si="1"/>
        <v>100</v>
      </c>
      <c r="G10" s="41">
        <v>33</v>
      </c>
      <c r="H10" s="14">
        <f t="shared" si="2"/>
        <v>82.5</v>
      </c>
      <c r="I10" s="72">
        <v>22</v>
      </c>
      <c r="J10" s="14">
        <f t="shared" si="3"/>
        <v>55.000000000000007</v>
      </c>
      <c r="K10" s="14">
        <v>37</v>
      </c>
      <c r="L10" s="14">
        <f t="shared" si="4"/>
        <v>92.5</v>
      </c>
      <c r="M10" s="34">
        <v>39</v>
      </c>
      <c r="N10" s="14">
        <f t="shared" si="5"/>
        <v>97.5</v>
      </c>
      <c r="O10" s="12">
        <f t="shared" si="6"/>
        <v>515</v>
      </c>
      <c r="P10" s="17">
        <f t="shared" si="7"/>
        <v>85.833333333333329</v>
      </c>
      <c r="Q10" s="22"/>
    </row>
    <row r="11" spans="1:17" ht="15.75" customHeight="1">
      <c r="A11" s="86">
        <v>4</v>
      </c>
      <c r="B11" s="150" t="s">
        <v>341</v>
      </c>
      <c r="C11" s="41">
        <v>22</v>
      </c>
      <c r="D11" s="12">
        <f t="shared" si="0"/>
        <v>55.000000000000007</v>
      </c>
      <c r="E11" s="41">
        <v>13</v>
      </c>
      <c r="F11" s="12">
        <f t="shared" si="1"/>
        <v>32.5</v>
      </c>
      <c r="G11" s="41">
        <v>20</v>
      </c>
      <c r="H11" s="14">
        <f t="shared" si="2"/>
        <v>50</v>
      </c>
      <c r="I11" s="72">
        <v>13</v>
      </c>
      <c r="J11" s="14">
        <f t="shared" si="3"/>
        <v>32.5</v>
      </c>
      <c r="K11" s="14">
        <v>30</v>
      </c>
      <c r="L11" s="14">
        <f t="shared" si="4"/>
        <v>75</v>
      </c>
      <c r="M11" s="34">
        <v>34</v>
      </c>
      <c r="N11" s="14">
        <f t="shared" si="5"/>
        <v>85</v>
      </c>
      <c r="O11" s="12">
        <f t="shared" si="6"/>
        <v>330</v>
      </c>
      <c r="P11" s="17">
        <f t="shared" si="7"/>
        <v>55.000000000000007</v>
      </c>
      <c r="Q11" s="22"/>
    </row>
    <row r="12" spans="1:17" ht="15.75" customHeight="1">
      <c r="A12" s="86">
        <v>5</v>
      </c>
      <c r="B12" s="150" t="s">
        <v>342</v>
      </c>
      <c r="C12" s="41">
        <v>27</v>
      </c>
      <c r="D12" s="12">
        <f t="shared" si="0"/>
        <v>67.5</v>
      </c>
      <c r="E12" s="41">
        <v>20</v>
      </c>
      <c r="F12" s="12">
        <f t="shared" si="1"/>
        <v>50</v>
      </c>
      <c r="G12" s="41">
        <v>17</v>
      </c>
      <c r="H12" s="14">
        <f t="shared" si="2"/>
        <v>42.5</v>
      </c>
      <c r="I12" s="72">
        <v>7</v>
      </c>
      <c r="J12" s="14">
        <f t="shared" si="3"/>
        <v>17.5</v>
      </c>
      <c r="K12" s="14">
        <v>29</v>
      </c>
      <c r="L12" s="14">
        <f t="shared" si="4"/>
        <v>72.5</v>
      </c>
      <c r="M12" s="34">
        <v>9</v>
      </c>
      <c r="N12" s="14">
        <f t="shared" si="5"/>
        <v>22.5</v>
      </c>
      <c r="O12" s="12">
        <f t="shared" si="6"/>
        <v>272.5</v>
      </c>
      <c r="P12" s="17">
        <f t="shared" si="7"/>
        <v>45.416666666666664</v>
      </c>
      <c r="Q12" s="22"/>
    </row>
    <row r="13" spans="1:17" ht="15.75" customHeight="1">
      <c r="A13" s="86">
        <v>6</v>
      </c>
      <c r="B13" s="150" t="s">
        <v>343</v>
      </c>
      <c r="C13" s="41">
        <v>19</v>
      </c>
      <c r="D13" s="12">
        <f t="shared" si="0"/>
        <v>47.5</v>
      </c>
      <c r="E13" s="41">
        <v>13</v>
      </c>
      <c r="F13" s="12">
        <f t="shared" si="1"/>
        <v>32.5</v>
      </c>
      <c r="G13" s="41">
        <v>22</v>
      </c>
      <c r="H13" s="14">
        <f t="shared" si="2"/>
        <v>55.000000000000007</v>
      </c>
      <c r="I13" s="72">
        <v>13</v>
      </c>
      <c r="J13" s="88">
        <f t="shared" si="3"/>
        <v>32.5</v>
      </c>
      <c r="K13" s="14">
        <v>26</v>
      </c>
      <c r="L13" s="14">
        <f t="shared" si="4"/>
        <v>65</v>
      </c>
      <c r="M13" s="34">
        <v>16</v>
      </c>
      <c r="N13" s="14">
        <f t="shared" si="5"/>
        <v>40</v>
      </c>
      <c r="O13" s="12">
        <f t="shared" si="6"/>
        <v>272.5</v>
      </c>
      <c r="P13" s="17">
        <f t="shared" si="7"/>
        <v>45.416666666666664</v>
      </c>
      <c r="Q13" s="22"/>
    </row>
    <row r="14" spans="1:17" ht="15.75" customHeight="1">
      <c r="A14" s="86">
        <v>7</v>
      </c>
      <c r="B14" s="150" t="s">
        <v>344</v>
      </c>
      <c r="C14" s="41">
        <v>28</v>
      </c>
      <c r="D14" s="12">
        <f t="shared" si="0"/>
        <v>70</v>
      </c>
      <c r="E14" s="41">
        <v>33</v>
      </c>
      <c r="F14" s="12">
        <f t="shared" si="1"/>
        <v>82.5</v>
      </c>
      <c r="G14" s="41">
        <v>34</v>
      </c>
      <c r="H14" s="14">
        <f t="shared" si="2"/>
        <v>85</v>
      </c>
      <c r="I14" s="72">
        <v>25</v>
      </c>
      <c r="J14" s="14">
        <f t="shared" si="3"/>
        <v>62.5</v>
      </c>
      <c r="K14" s="7">
        <v>34</v>
      </c>
      <c r="L14" s="14">
        <f t="shared" si="4"/>
        <v>85</v>
      </c>
      <c r="M14" s="34">
        <v>32</v>
      </c>
      <c r="N14" s="14">
        <f t="shared" si="5"/>
        <v>80</v>
      </c>
      <c r="O14" s="12">
        <f t="shared" si="6"/>
        <v>465</v>
      </c>
      <c r="P14" s="17">
        <f t="shared" si="7"/>
        <v>77.5</v>
      </c>
      <c r="Q14" s="22"/>
    </row>
    <row r="15" spans="1:17" ht="15.75" customHeight="1">
      <c r="A15" s="86">
        <v>8</v>
      </c>
      <c r="B15" s="150" t="s">
        <v>345</v>
      </c>
      <c r="C15" s="41">
        <v>36</v>
      </c>
      <c r="D15" s="12">
        <f t="shared" si="0"/>
        <v>90</v>
      </c>
      <c r="E15" s="41">
        <v>35</v>
      </c>
      <c r="F15" s="12">
        <f t="shared" si="1"/>
        <v>87.5</v>
      </c>
      <c r="G15" s="41">
        <v>35</v>
      </c>
      <c r="H15" s="14">
        <f t="shared" si="2"/>
        <v>87.5</v>
      </c>
      <c r="I15" s="72">
        <v>21</v>
      </c>
      <c r="J15" s="14">
        <f t="shared" si="3"/>
        <v>52.5</v>
      </c>
      <c r="K15" s="7">
        <v>35</v>
      </c>
      <c r="L15" s="14">
        <f t="shared" si="4"/>
        <v>87.5</v>
      </c>
      <c r="M15" s="34">
        <v>31</v>
      </c>
      <c r="N15" s="14">
        <f t="shared" si="5"/>
        <v>77.5</v>
      </c>
      <c r="O15" s="12">
        <f t="shared" si="6"/>
        <v>482.5</v>
      </c>
      <c r="P15" s="17">
        <f t="shared" si="7"/>
        <v>80.416666666666671</v>
      </c>
      <c r="Q15" s="22"/>
    </row>
    <row r="16" spans="1:17" ht="15.75" customHeight="1">
      <c r="A16" s="86">
        <v>9</v>
      </c>
      <c r="B16" s="150" t="s">
        <v>346</v>
      </c>
      <c r="C16" s="41">
        <v>38</v>
      </c>
      <c r="D16" s="12">
        <f t="shared" si="0"/>
        <v>95</v>
      </c>
      <c r="E16" s="41">
        <v>38</v>
      </c>
      <c r="F16" s="12">
        <f t="shared" si="1"/>
        <v>95</v>
      </c>
      <c r="G16" s="13">
        <v>37</v>
      </c>
      <c r="H16" s="14">
        <f t="shared" si="2"/>
        <v>92.5</v>
      </c>
      <c r="I16" s="72">
        <v>23</v>
      </c>
      <c r="J16" s="14">
        <f t="shared" si="3"/>
        <v>57.499999999999993</v>
      </c>
      <c r="K16" s="14">
        <v>38</v>
      </c>
      <c r="L16" s="14">
        <f t="shared" si="4"/>
        <v>95</v>
      </c>
      <c r="M16" s="34">
        <v>40</v>
      </c>
      <c r="N16" s="14">
        <f t="shared" si="5"/>
        <v>100</v>
      </c>
      <c r="O16" s="12">
        <f t="shared" si="6"/>
        <v>535</v>
      </c>
      <c r="P16" s="17">
        <f t="shared" si="7"/>
        <v>89.166666666666671</v>
      </c>
      <c r="Q16" s="22"/>
    </row>
    <row r="17" spans="1:17" ht="15.75" customHeight="1">
      <c r="A17" s="86">
        <v>10</v>
      </c>
      <c r="B17" s="150" t="s">
        <v>347</v>
      </c>
      <c r="C17" s="41">
        <v>36</v>
      </c>
      <c r="D17" s="12">
        <f t="shared" si="0"/>
        <v>90</v>
      </c>
      <c r="E17" s="41">
        <v>38</v>
      </c>
      <c r="F17" s="12">
        <f t="shared" si="1"/>
        <v>95</v>
      </c>
      <c r="G17" s="13">
        <v>38</v>
      </c>
      <c r="H17" s="14">
        <f t="shared" si="2"/>
        <v>95</v>
      </c>
      <c r="I17" s="72">
        <v>26</v>
      </c>
      <c r="J17" s="14">
        <f t="shared" si="3"/>
        <v>65</v>
      </c>
      <c r="K17" s="14">
        <v>37</v>
      </c>
      <c r="L17" s="14">
        <f t="shared" si="4"/>
        <v>92.5</v>
      </c>
      <c r="M17" s="34">
        <v>40</v>
      </c>
      <c r="N17" s="14">
        <f t="shared" si="5"/>
        <v>100</v>
      </c>
      <c r="O17" s="12">
        <f t="shared" si="6"/>
        <v>537.5</v>
      </c>
      <c r="P17" s="17">
        <f t="shared" si="7"/>
        <v>89.583333333333343</v>
      </c>
      <c r="Q17" s="22"/>
    </row>
    <row r="18" spans="1:17" ht="15.75" customHeight="1">
      <c r="A18" s="86">
        <v>11</v>
      </c>
      <c r="B18" s="150" t="s">
        <v>348</v>
      </c>
      <c r="C18" s="41">
        <v>26</v>
      </c>
      <c r="D18" s="12">
        <f t="shared" si="0"/>
        <v>65</v>
      </c>
      <c r="E18" s="41">
        <v>33</v>
      </c>
      <c r="F18" s="12">
        <f t="shared" si="1"/>
        <v>82.5</v>
      </c>
      <c r="G18" s="13">
        <v>23</v>
      </c>
      <c r="H18" s="14">
        <f t="shared" si="2"/>
        <v>57.499999999999993</v>
      </c>
      <c r="I18" s="72">
        <v>15</v>
      </c>
      <c r="J18" s="14">
        <f t="shared" si="3"/>
        <v>37.5</v>
      </c>
      <c r="K18" s="14">
        <v>36</v>
      </c>
      <c r="L18" s="14">
        <f t="shared" si="4"/>
        <v>90</v>
      </c>
      <c r="M18" s="34">
        <v>15</v>
      </c>
      <c r="N18" s="14">
        <f t="shared" si="5"/>
        <v>37.5</v>
      </c>
      <c r="O18" s="12">
        <f t="shared" si="6"/>
        <v>370</v>
      </c>
      <c r="P18" s="17">
        <f t="shared" si="7"/>
        <v>61.666666666666671</v>
      </c>
      <c r="Q18" s="22"/>
    </row>
    <row r="19" spans="1:17" ht="15.75" customHeight="1">
      <c r="A19" s="86">
        <v>12</v>
      </c>
      <c r="B19" s="150" t="s">
        <v>349</v>
      </c>
      <c r="C19" s="41">
        <v>35</v>
      </c>
      <c r="D19" s="12">
        <f t="shared" si="0"/>
        <v>87.5</v>
      </c>
      <c r="E19" s="41">
        <v>32</v>
      </c>
      <c r="F19" s="12">
        <f t="shared" si="1"/>
        <v>80</v>
      </c>
      <c r="G19" s="41">
        <v>28</v>
      </c>
      <c r="H19" s="14">
        <f t="shared" si="2"/>
        <v>70</v>
      </c>
      <c r="I19" s="72">
        <v>24</v>
      </c>
      <c r="J19" s="14">
        <f t="shared" si="3"/>
        <v>60</v>
      </c>
      <c r="K19" s="14">
        <v>39</v>
      </c>
      <c r="L19" s="14">
        <f t="shared" si="4"/>
        <v>97.5</v>
      </c>
      <c r="M19" s="34">
        <v>37</v>
      </c>
      <c r="N19" s="14">
        <f t="shared" si="5"/>
        <v>92.5</v>
      </c>
      <c r="O19" s="12">
        <f t="shared" si="6"/>
        <v>487.5</v>
      </c>
      <c r="P19" s="17">
        <f t="shared" si="7"/>
        <v>81.25</v>
      </c>
      <c r="Q19" s="22"/>
    </row>
    <row r="20" spans="1:17" ht="15.75" customHeight="1">
      <c r="A20" s="86">
        <v>13</v>
      </c>
      <c r="B20" s="150" t="s">
        <v>350</v>
      </c>
      <c r="C20" s="41">
        <v>31</v>
      </c>
      <c r="D20" s="12">
        <f t="shared" si="0"/>
        <v>77.5</v>
      </c>
      <c r="E20" s="41">
        <v>28</v>
      </c>
      <c r="F20" s="12">
        <f t="shared" si="1"/>
        <v>70</v>
      </c>
      <c r="G20" s="41">
        <v>30</v>
      </c>
      <c r="H20" s="14">
        <f t="shared" si="2"/>
        <v>75</v>
      </c>
      <c r="I20" s="72">
        <v>22</v>
      </c>
      <c r="J20" s="14">
        <f t="shared" si="3"/>
        <v>55.000000000000007</v>
      </c>
      <c r="K20" s="14">
        <v>38</v>
      </c>
      <c r="L20" s="14">
        <f t="shared" si="4"/>
        <v>95</v>
      </c>
      <c r="M20" s="34">
        <v>39</v>
      </c>
      <c r="N20" s="14">
        <f t="shared" si="5"/>
        <v>97.5</v>
      </c>
      <c r="O20" s="12">
        <f t="shared" si="6"/>
        <v>470</v>
      </c>
      <c r="P20" s="17">
        <f t="shared" si="7"/>
        <v>78.333333333333329</v>
      </c>
      <c r="Q20" s="22"/>
    </row>
    <row r="21" spans="1:17" ht="15.75" customHeight="1">
      <c r="A21" s="86">
        <v>14</v>
      </c>
      <c r="B21" s="150" t="s">
        <v>351</v>
      </c>
      <c r="C21" s="41">
        <v>25</v>
      </c>
      <c r="D21" s="12">
        <f t="shared" si="0"/>
        <v>62.5</v>
      </c>
      <c r="E21" s="41">
        <v>13</v>
      </c>
      <c r="F21" s="12">
        <f t="shared" si="1"/>
        <v>32.5</v>
      </c>
      <c r="G21" s="41">
        <v>25</v>
      </c>
      <c r="H21" s="14">
        <f t="shared" si="2"/>
        <v>62.5</v>
      </c>
      <c r="I21" s="72">
        <v>13</v>
      </c>
      <c r="J21" s="14">
        <f t="shared" si="3"/>
        <v>32.5</v>
      </c>
      <c r="K21" s="14">
        <v>30</v>
      </c>
      <c r="L21" s="14">
        <f t="shared" si="4"/>
        <v>75</v>
      </c>
      <c r="M21" s="34">
        <v>22</v>
      </c>
      <c r="N21" s="14">
        <f t="shared" si="5"/>
        <v>55.000000000000007</v>
      </c>
      <c r="O21" s="12">
        <f t="shared" si="6"/>
        <v>320</v>
      </c>
      <c r="P21" s="17">
        <f t="shared" si="7"/>
        <v>53.333333333333336</v>
      </c>
      <c r="Q21" s="22"/>
    </row>
    <row r="22" spans="1:17" ht="15.75" customHeight="1">
      <c r="A22" s="86">
        <v>15</v>
      </c>
      <c r="B22" s="150" t="s">
        <v>352</v>
      </c>
      <c r="C22" s="41">
        <v>32</v>
      </c>
      <c r="D22" s="12">
        <f t="shared" si="0"/>
        <v>80</v>
      </c>
      <c r="E22" s="41">
        <v>34</v>
      </c>
      <c r="F22" s="12">
        <f t="shared" si="1"/>
        <v>85</v>
      </c>
      <c r="G22" s="41">
        <v>21</v>
      </c>
      <c r="H22" s="14">
        <f t="shared" si="2"/>
        <v>52.5</v>
      </c>
      <c r="I22" s="72">
        <v>13</v>
      </c>
      <c r="J22" s="14">
        <f t="shared" si="3"/>
        <v>32.5</v>
      </c>
      <c r="K22" s="14">
        <v>36</v>
      </c>
      <c r="L22" s="14">
        <f t="shared" si="4"/>
        <v>90</v>
      </c>
      <c r="M22" s="34">
        <v>34</v>
      </c>
      <c r="N22" s="14">
        <f t="shared" si="5"/>
        <v>85</v>
      </c>
      <c r="O22" s="12">
        <f t="shared" si="6"/>
        <v>425</v>
      </c>
      <c r="P22" s="17">
        <f t="shared" si="7"/>
        <v>70.833333333333343</v>
      </c>
      <c r="Q22" s="22"/>
    </row>
    <row r="23" spans="1:17" ht="15.75" customHeight="1">
      <c r="A23" s="86">
        <v>16</v>
      </c>
      <c r="B23" s="150" t="s">
        <v>353</v>
      </c>
      <c r="C23" s="41">
        <v>30</v>
      </c>
      <c r="D23" s="12">
        <f t="shared" si="0"/>
        <v>75</v>
      </c>
      <c r="E23" s="41">
        <v>27</v>
      </c>
      <c r="F23" s="12">
        <f t="shared" si="1"/>
        <v>67.5</v>
      </c>
      <c r="G23" s="41">
        <v>38</v>
      </c>
      <c r="H23" s="14">
        <f t="shared" si="2"/>
        <v>95</v>
      </c>
      <c r="I23" s="72">
        <v>16</v>
      </c>
      <c r="J23" s="14">
        <f t="shared" si="3"/>
        <v>40</v>
      </c>
      <c r="K23" s="14">
        <v>36</v>
      </c>
      <c r="L23" s="14">
        <f t="shared" si="4"/>
        <v>90</v>
      </c>
      <c r="M23" s="34">
        <v>25</v>
      </c>
      <c r="N23" s="14">
        <f t="shared" si="5"/>
        <v>62.5</v>
      </c>
      <c r="O23" s="12">
        <f t="shared" si="6"/>
        <v>430</v>
      </c>
      <c r="P23" s="17">
        <f t="shared" si="7"/>
        <v>71.666666666666671</v>
      </c>
      <c r="Q23" s="22"/>
    </row>
    <row r="24" spans="1:17" ht="15.75" customHeight="1">
      <c r="A24" s="86">
        <v>17</v>
      </c>
      <c r="B24" s="150" t="s">
        <v>354</v>
      </c>
      <c r="C24" s="41">
        <v>31</v>
      </c>
      <c r="D24" s="12">
        <f t="shared" si="0"/>
        <v>77.5</v>
      </c>
      <c r="E24" s="41">
        <v>28</v>
      </c>
      <c r="F24" s="12">
        <f t="shared" si="1"/>
        <v>70</v>
      </c>
      <c r="G24" s="41">
        <v>38</v>
      </c>
      <c r="H24" s="14">
        <f t="shared" si="2"/>
        <v>95</v>
      </c>
      <c r="I24" s="72">
        <v>21</v>
      </c>
      <c r="J24" s="14">
        <f t="shared" si="3"/>
        <v>52.5</v>
      </c>
      <c r="K24" s="7">
        <v>29</v>
      </c>
      <c r="L24" s="14">
        <f t="shared" si="4"/>
        <v>72.5</v>
      </c>
      <c r="M24" s="34">
        <v>29</v>
      </c>
      <c r="N24" s="14">
        <f t="shared" si="5"/>
        <v>72.5</v>
      </c>
      <c r="O24" s="12">
        <f t="shared" si="6"/>
        <v>440</v>
      </c>
      <c r="P24" s="17">
        <f t="shared" si="7"/>
        <v>73.333333333333329</v>
      </c>
      <c r="Q24" s="22"/>
    </row>
    <row r="25" spans="1:17" ht="15.75" customHeight="1">
      <c r="A25" s="86">
        <v>18</v>
      </c>
      <c r="B25" s="150" t="s">
        <v>355</v>
      </c>
      <c r="C25" s="41">
        <v>29</v>
      </c>
      <c r="D25" s="12">
        <f t="shared" si="0"/>
        <v>72.5</v>
      </c>
      <c r="E25" s="41">
        <v>29</v>
      </c>
      <c r="F25" s="12">
        <f t="shared" si="1"/>
        <v>72.5</v>
      </c>
      <c r="G25" s="41">
        <v>29</v>
      </c>
      <c r="H25" s="14">
        <f t="shared" si="2"/>
        <v>72.5</v>
      </c>
      <c r="I25" s="72">
        <v>8</v>
      </c>
      <c r="J25" s="14">
        <f t="shared" si="3"/>
        <v>20</v>
      </c>
      <c r="K25" s="14">
        <v>32</v>
      </c>
      <c r="L25" s="14">
        <f t="shared" si="4"/>
        <v>80</v>
      </c>
      <c r="M25" s="34">
        <v>29</v>
      </c>
      <c r="N25" s="14">
        <f t="shared" si="5"/>
        <v>72.5</v>
      </c>
      <c r="O25" s="12">
        <f t="shared" si="6"/>
        <v>390</v>
      </c>
      <c r="P25" s="17">
        <f t="shared" si="7"/>
        <v>65</v>
      </c>
      <c r="Q25" s="22"/>
    </row>
    <row r="26" spans="1:17" ht="15.75" customHeight="1">
      <c r="A26" s="86">
        <v>19</v>
      </c>
      <c r="B26" s="150" t="s">
        <v>356</v>
      </c>
      <c r="C26" s="41">
        <v>34</v>
      </c>
      <c r="D26" s="12">
        <f t="shared" si="0"/>
        <v>85</v>
      </c>
      <c r="E26" s="41">
        <v>34</v>
      </c>
      <c r="F26" s="12">
        <f t="shared" si="1"/>
        <v>85</v>
      </c>
      <c r="G26" s="41">
        <v>36</v>
      </c>
      <c r="H26" s="14">
        <f t="shared" si="2"/>
        <v>90</v>
      </c>
      <c r="I26" s="72">
        <v>22</v>
      </c>
      <c r="J26" s="14">
        <f t="shared" si="3"/>
        <v>55.000000000000007</v>
      </c>
      <c r="K26" s="14">
        <v>33</v>
      </c>
      <c r="L26" s="14">
        <f t="shared" si="4"/>
        <v>82.5</v>
      </c>
      <c r="M26" s="34">
        <v>38</v>
      </c>
      <c r="N26" s="14">
        <f t="shared" si="5"/>
        <v>95</v>
      </c>
      <c r="O26" s="12">
        <f t="shared" si="6"/>
        <v>492.5</v>
      </c>
      <c r="P26" s="17">
        <f t="shared" si="7"/>
        <v>82.083333333333329</v>
      </c>
      <c r="Q26" s="22"/>
    </row>
    <row r="27" spans="1:17" ht="18">
      <c r="A27" s="86">
        <v>20</v>
      </c>
      <c r="B27" s="150" t="s">
        <v>357</v>
      </c>
      <c r="C27" s="41">
        <v>33</v>
      </c>
      <c r="D27" s="12">
        <f t="shared" si="0"/>
        <v>82.5</v>
      </c>
      <c r="E27" s="41">
        <v>28</v>
      </c>
      <c r="F27" s="12">
        <f t="shared" si="1"/>
        <v>70</v>
      </c>
      <c r="G27" s="41">
        <v>36</v>
      </c>
      <c r="H27" s="14">
        <f t="shared" si="2"/>
        <v>90</v>
      </c>
      <c r="I27" s="72">
        <v>24</v>
      </c>
      <c r="J27" s="14">
        <f t="shared" si="3"/>
        <v>60</v>
      </c>
      <c r="K27" s="7">
        <v>33</v>
      </c>
      <c r="L27" s="14">
        <f t="shared" si="4"/>
        <v>82.5</v>
      </c>
      <c r="M27" s="34">
        <v>28</v>
      </c>
      <c r="N27" s="14">
        <f t="shared" si="5"/>
        <v>70</v>
      </c>
      <c r="O27" s="12">
        <f t="shared" si="6"/>
        <v>455</v>
      </c>
      <c r="P27" s="17">
        <f t="shared" si="7"/>
        <v>75.833333333333329</v>
      </c>
      <c r="Q27" s="22"/>
    </row>
    <row r="28" spans="1:17" ht="18">
      <c r="A28" s="86">
        <v>21</v>
      </c>
      <c r="B28" s="150" t="s">
        <v>358</v>
      </c>
      <c r="C28" s="41">
        <v>27</v>
      </c>
      <c r="D28" s="12">
        <f t="shared" si="0"/>
        <v>67.5</v>
      </c>
      <c r="E28" s="41">
        <v>21</v>
      </c>
      <c r="F28" s="12">
        <f t="shared" si="1"/>
        <v>52.5</v>
      </c>
      <c r="G28" s="41">
        <v>23</v>
      </c>
      <c r="H28" s="14">
        <f t="shared" si="2"/>
        <v>57.499999999999993</v>
      </c>
      <c r="I28" s="72">
        <v>15</v>
      </c>
      <c r="J28" s="14">
        <f t="shared" si="3"/>
        <v>37.5</v>
      </c>
      <c r="K28" s="14">
        <v>29</v>
      </c>
      <c r="L28" s="14">
        <f t="shared" si="4"/>
        <v>72.5</v>
      </c>
      <c r="M28" s="34">
        <v>22</v>
      </c>
      <c r="N28" s="14">
        <f t="shared" si="5"/>
        <v>55.000000000000007</v>
      </c>
      <c r="O28" s="12">
        <f t="shared" si="6"/>
        <v>342.5</v>
      </c>
      <c r="P28" s="17">
        <f t="shared" si="7"/>
        <v>57.083333333333329</v>
      </c>
      <c r="Q28" s="22"/>
    </row>
    <row r="29" spans="1:17" ht="18">
      <c r="A29" s="86">
        <v>22</v>
      </c>
      <c r="B29" s="150" t="s">
        <v>359</v>
      </c>
      <c r="C29" s="41">
        <v>29</v>
      </c>
      <c r="D29" s="12">
        <f t="shared" si="0"/>
        <v>72.5</v>
      </c>
      <c r="E29" s="41">
        <v>32</v>
      </c>
      <c r="F29" s="12">
        <f t="shared" si="1"/>
        <v>80</v>
      </c>
      <c r="G29" s="41">
        <v>22</v>
      </c>
      <c r="H29" s="14">
        <f t="shared" si="2"/>
        <v>55.000000000000007</v>
      </c>
      <c r="I29" s="72">
        <v>10</v>
      </c>
      <c r="J29" s="14">
        <f t="shared" si="3"/>
        <v>25</v>
      </c>
      <c r="K29" s="7">
        <v>19</v>
      </c>
      <c r="L29" s="14">
        <f t="shared" si="4"/>
        <v>47.5</v>
      </c>
      <c r="M29" s="34">
        <v>24</v>
      </c>
      <c r="N29" s="14">
        <f t="shared" si="5"/>
        <v>60</v>
      </c>
      <c r="O29" s="12">
        <f t="shared" si="6"/>
        <v>340</v>
      </c>
      <c r="P29" s="17">
        <f t="shared" si="7"/>
        <v>56.666666666666664</v>
      </c>
      <c r="Q29" s="22"/>
    </row>
    <row r="30" spans="1:17" ht="18">
      <c r="A30" s="86">
        <v>23</v>
      </c>
      <c r="B30" s="150" t="s">
        <v>360</v>
      </c>
      <c r="C30" s="41">
        <v>33</v>
      </c>
      <c r="D30" s="12">
        <f t="shared" si="0"/>
        <v>82.5</v>
      </c>
      <c r="E30" s="41">
        <v>40</v>
      </c>
      <c r="F30" s="12">
        <f t="shared" si="1"/>
        <v>100</v>
      </c>
      <c r="G30" s="88">
        <v>26</v>
      </c>
      <c r="H30" s="14">
        <f t="shared" si="2"/>
        <v>65</v>
      </c>
      <c r="I30" s="72">
        <v>13</v>
      </c>
      <c r="J30" s="14">
        <f t="shared" si="3"/>
        <v>32.5</v>
      </c>
      <c r="K30" s="14">
        <v>33</v>
      </c>
      <c r="L30" s="14">
        <f t="shared" si="4"/>
        <v>82.5</v>
      </c>
      <c r="M30" s="34">
        <v>34</v>
      </c>
      <c r="N30" s="14">
        <f t="shared" si="5"/>
        <v>85</v>
      </c>
      <c r="O30" s="12">
        <f t="shared" si="6"/>
        <v>447.5</v>
      </c>
      <c r="P30" s="17">
        <f t="shared" si="7"/>
        <v>74.583333333333329</v>
      </c>
      <c r="Q30" s="22"/>
    </row>
    <row r="31" spans="1:17" ht="18">
      <c r="A31" s="86">
        <v>24</v>
      </c>
      <c r="B31" s="150" t="s">
        <v>361</v>
      </c>
      <c r="C31" s="41">
        <v>17</v>
      </c>
      <c r="D31" s="12">
        <f t="shared" si="0"/>
        <v>42.5</v>
      </c>
      <c r="E31" s="41">
        <v>27</v>
      </c>
      <c r="F31" s="12">
        <f t="shared" si="1"/>
        <v>67.5</v>
      </c>
      <c r="G31" s="41">
        <v>30</v>
      </c>
      <c r="H31" s="14">
        <f t="shared" si="2"/>
        <v>75</v>
      </c>
      <c r="I31" s="72">
        <v>14</v>
      </c>
      <c r="J31" s="14">
        <f t="shared" si="3"/>
        <v>35</v>
      </c>
      <c r="K31" s="7">
        <v>36</v>
      </c>
      <c r="L31" s="14">
        <f t="shared" si="4"/>
        <v>90</v>
      </c>
      <c r="M31" s="34">
        <v>32</v>
      </c>
      <c r="N31" s="14">
        <f t="shared" si="5"/>
        <v>80</v>
      </c>
      <c r="O31" s="12">
        <f t="shared" si="6"/>
        <v>390</v>
      </c>
      <c r="P31" s="17">
        <f t="shared" si="7"/>
        <v>65</v>
      </c>
      <c r="Q31" s="22"/>
    </row>
    <row r="32" spans="1:17" ht="18">
      <c r="A32" s="86">
        <v>25</v>
      </c>
      <c r="B32" s="150" t="s">
        <v>362</v>
      </c>
      <c r="C32" s="41"/>
      <c r="D32" s="12" t="str">
        <f t="shared" si="0"/>
        <v/>
      </c>
      <c r="E32" s="41" t="s">
        <v>23</v>
      </c>
      <c r="F32" s="12" t="e">
        <f t="shared" si="1"/>
        <v>#NAME?</v>
      </c>
      <c r="G32" s="151">
        <v>24</v>
      </c>
      <c r="H32" s="14">
        <f t="shared" si="2"/>
        <v>60</v>
      </c>
      <c r="I32" s="72">
        <v>13</v>
      </c>
      <c r="J32" s="14">
        <f t="shared" si="3"/>
        <v>32.5</v>
      </c>
      <c r="K32" s="14">
        <v>33</v>
      </c>
      <c r="L32" s="14">
        <f t="shared" si="4"/>
        <v>82.5</v>
      </c>
      <c r="M32" s="34">
        <v>39</v>
      </c>
      <c r="N32" s="14">
        <f t="shared" si="5"/>
        <v>97.5</v>
      </c>
      <c r="O32" s="12" t="e">
        <f t="shared" si="6"/>
        <v>#NAME?</v>
      </c>
      <c r="P32" s="17" t="e">
        <f t="shared" si="7"/>
        <v>#NAME?</v>
      </c>
      <c r="Q32" s="22"/>
    </row>
    <row r="33" spans="1:17" ht="18">
      <c r="A33" s="86">
        <v>26</v>
      </c>
      <c r="B33" s="150" t="s">
        <v>363</v>
      </c>
      <c r="C33" s="41">
        <v>16</v>
      </c>
      <c r="D33" s="70">
        <f t="shared" si="0"/>
        <v>40</v>
      </c>
      <c r="E33" s="41">
        <v>14</v>
      </c>
      <c r="F33" s="12">
        <f t="shared" si="1"/>
        <v>35</v>
      </c>
      <c r="G33" s="41">
        <v>14</v>
      </c>
      <c r="H33" s="88">
        <f t="shared" si="2"/>
        <v>35</v>
      </c>
      <c r="I33" s="72">
        <v>13</v>
      </c>
      <c r="J33" s="14">
        <f t="shared" si="3"/>
        <v>32.5</v>
      </c>
      <c r="K33" s="7">
        <v>13</v>
      </c>
      <c r="L33" s="88">
        <f t="shared" si="4"/>
        <v>32.5</v>
      </c>
      <c r="M33" s="34">
        <v>33</v>
      </c>
      <c r="N33" s="14">
        <f t="shared" si="5"/>
        <v>82.5</v>
      </c>
      <c r="O33" s="12">
        <f t="shared" si="6"/>
        <v>257.5</v>
      </c>
      <c r="P33" s="17">
        <f t="shared" si="7"/>
        <v>42.916666666666664</v>
      </c>
      <c r="Q33" s="22"/>
    </row>
    <row r="34" spans="1:17" ht="18">
      <c r="A34" s="86">
        <v>27</v>
      </c>
      <c r="B34" s="150" t="s">
        <v>364</v>
      </c>
      <c r="C34" s="41">
        <v>24</v>
      </c>
      <c r="D34" s="12">
        <f t="shared" si="0"/>
        <v>60</v>
      </c>
      <c r="E34" s="41">
        <v>28</v>
      </c>
      <c r="F34" s="12">
        <f t="shared" si="1"/>
        <v>70</v>
      </c>
      <c r="G34" s="41">
        <v>23</v>
      </c>
      <c r="H34" s="14">
        <f t="shared" si="2"/>
        <v>57.499999999999993</v>
      </c>
      <c r="I34" s="72">
        <v>14</v>
      </c>
      <c r="J34" s="14">
        <f t="shared" si="3"/>
        <v>35</v>
      </c>
      <c r="K34" s="7">
        <v>33</v>
      </c>
      <c r="L34" s="14">
        <f t="shared" si="4"/>
        <v>82.5</v>
      </c>
      <c r="M34" s="34">
        <v>32</v>
      </c>
      <c r="N34" s="14">
        <f t="shared" si="5"/>
        <v>80</v>
      </c>
      <c r="O34" s="12">
        <f t="shared" si="6"/>
        <v>385</v>
      </c>
      <c r="P34" s="17">
        <f t="shared" si="7"/>
        <v>64.166666666666671</v>
      </c>
      <c r="Q34" s="22"/>
    </row>
    <row r="35" spans="1:17" ht="18">
      <c r="A35" s="86">
        <v>28</v>
      </c>
      <c r="B35" s="150" t="s">
        <v>365</v>
      </c>
      <c r="C35" s="41">
        <v>30</v>
      </c>
      <c r="D35" s="12">
        <f t="shared" si="0"/>
        <v>75</v>
      </c>
      <c r="E35" s="41">
        <v>30</v>
      </c>
      <c r="F35" s="12">
        <f t="shared" si="1"/>
        <v>75</v>
      </c>
      <c r="G35" s="41">
        <v>33</v>
      </c>
      <c r="H35" s="14">
        <f t="shared" si="2"/>
        <v>82.5</v>
      </c>
      <c r="I35" s="72">
        <v>14</v>
      </c>
      <c r="J35" s="14">
        <f t="shared" si="3"/>
        <v>35</v>
      </c>
      <c r="K35" s="7">
        <v>39</v>
      </c>
      <c r="L35" s="14">
        <f t="shared" si="4"/>
        <v>97.5</v>
      </c>
      <c r="M35" s="34">
        <v>30</v>
      </c>
      <c r="N35" s="14">
        <f t="shared" si="5"/>
        <v>75</v>
      </c>
      <c r="O35" s="12">
        <f t="shared" si="6"/>
        <v>440</v>
      </c>
      <c r="P35" s="17">
        <f t="shared" si="7"/>
        <v>73.333333333333329</v>
      </c>
      <c r="Q35" s="22"/>
    </row>
    <row r="36" spans="1:17" ht="18">
      <c r="A36" s="86">
        <v>29</v>
      </c>
      <c r="B36" s="150" t="s">
        <v>366</v>
      </c>
      <c r="C36" s="41">
        <v>20</v>
      </c>
      <c r="D36" s="12">
        <f t="shared" si="0"/>
        <v>50</v>
      </c>
      <c r="E36" s="41">
        <v>29</v>
      </c>
      <c r="F36" s="12">
        <f t="shared" si="1"/>
        <v>72.5</v>
      </c>
      <c r="G36" s="41">
        <v>18</v>
      </c>
      <c r="H36" s="14">
        <f t="shared" si="2"/>
        <v>45</v>
      </c>
      <c r="I36" s="72">
        <v>7</v>
      </c>
      <c r="J36" s="14">
        <f t="shared" si="3"/>
        <v>17.5</v>
      </c>
      <c r="K36" s="7">
        <v>25</v>
      </c>
      <c r="L36" s="14">
        <f t="shared" si="4"/>
        <v>62.5</v>
      </c>
      <c r="M36" s="34">
        <v>29</v>
      </c>
      <c r="N36" s="14">
        <f t="shared" si="5"/>
        <v>72.5</v>
      </c>
      <c r="O36" s="12">
        <f t="shared" si="6"/>
        <v>320</v>
      </c>
      <c r="P36" s="17">
        <f t="shared" si="7"/>
        <v>53.333333333333336</v>
      </c>
      <c r="Q36" s="22"/>
    </row>
    <row r="37" spans="1:17" ht="18">
      <c r="A37" s="86">
        <v>30</v>
      </c>
      <c r="B37" s="150" t="s">
        <v>367</v>
      </c>
      <c r="C37" s="41">
        <v>19</v>
      </c>
      <c r="D37" s="12">
        <f t="shared" si="0"/>
        <v>47.5</v>
      </c>
      <c r="E37" s="41">
        <v>22</v>
      </c>
      <c r="F37" s="12">
        <f t="shared" si="1"/>
        <v>55.000000000000007</v>
      </c>
      <c r="G37" s="41">
        <v>27</v>
      </c>
      <c r="H37" s="14">
        <f t="shared" si="2"/>
        <v>67.5</v>
      </c>
      <c r="I37" s="72">
        <v>10</v>
      </c>
      <c r="J37" s="88">
        <f t="shared" si="3"/>
        <v>25</v>
      </c>
      <c r="K37" s="7">
        <v>29</v>
      </c>
      <c r="L37" s="14">
        <f t="shared" si="4"/>
        <v>72.5</v>
      </c>
      <c r="M37" s="34">
        <v>29</v>
      </c>
      <c r="N37" s="14">
        <f t="shared" si="5"/>
        <v>72.5</v>
      </c>
      <c r="O37" s="12">
        <f t="shared" si="6"/>
        <v>340</v>
      </c>
      <c r="P37" s="17">
        <f t="shared" si="7"/>
        <v>56.666666666666664</v>
      </c>
      <c r="Q37" s="22"/>
    </row>
    <row r="38" spans="1:17" ht="18">
      <c r="A38" s="86">
        <v>31</v>
      </c>
      <c r="B38" s="150" t="s">
        <v>368</v>
      </c>
      <c r="C38" s="41">
        <v>13</v>
      </c>
      <c r="D38" s="70">
        <f t="shared" si="0"/>
        <v>32.5</v>
      </c>
      <c r="E38" s="41">
        <v>18</v>
      </c>
      <c r="F38" s="12">
        <f t="shared" si="1"/>
        <v>45</v>
      </c>
      <c r="G38" s="41">
        <v>13</v>
      </c>
      <c r="H38" s="88">
        <f t="shared" si="2"/>
        <v>32.5</v>
      </c>
      <c r="I38" s="72">
        <v>6</v>
      </c>
      <c r="J38" s="88">
        <f t="shared" si="3"/>
        <v>15</v>
      </c>
      <c r="K38" s="7">
        <v>23</v>
      </c>
      <c r="L38" s="14">
        <f t="shared" si="4"/>
        <v>57.499999999999993</v>
      </c>
      <c r="M38" s="34">
        <v>5</v>
      </c>
      <c r="N38" s="14">
        <f t="shared" si="5"/>
        <v>12.5</v>
      </c>
      <c r="O38" s="12">
        <f t="shared" si="6"/>
        <v>195</v>
      </c>
      <c r="P38" s="17">
        <f t="shared" si="7"/>
        <v>32.5</v>
      </c>
      <c r="Q38" s="22"/>
    </row>
    <row r="39" spans="1:17" ht="18">
      <c r="A39" s="86">
        <v>32</v>
      </c>
      <c r="B39" s="150" t="s">
        <v>369</v>
      </c>
      <c r="C39" s="41">
        <v>18</v>
      </c>
      <c r="D39" s="12">
        <f t="shared" si="0"/>
        <v>45</v>
      </c>
      <c r="E39" s="41" t="s">
        <v>23</v>
      </c>
      <c r="F39" s="12" t="e">
        <f t="shared" si="1"/>
        <v>#NAME?</v>
      </c>
      <c r="G39" s="41">
        <v>22</v>
      </c>
      <c r="H39" s="14">
        <f t="shared" si="2"/>
        <v>55.000000000000007</v>
      </c>
      <c r="I39" s="72">
        <v>14</v>
      </c>
      <c r="J39" s="14">
        <f t="shared" si="3"/>
        <v>35</v>
      </c>
      <c r="K39" s="7">
        <v>37</v>
      </c>
      <c r="L39" s="14">
        <f t="shared" si="4"/>
        <v>92.5</v>
      </c>
      <c r="M39" s="34">
        <v>24</v>
      </c>
      <c r="N39" s="14">
        <f t="shared" si="5"/>
        <v>60</v>
      </c>
      <c r="O39" s="12" t="e">
        <f t="shared" si="6"/>
        <v>#NAME?</v>
      </c>
      <c r="P39" s="17" t="e">
        <f t="shared" si="7"/>
        <v>#NAME?</v>
      </c>
      <c r="Q39" s="22"/>
    </row>
    <row r="40" spans="1:17" ht="18">
      <c r="A40" s="86">
        <v>33</v>
      </c>
      <c r="B40" s="150" t="s">
        <v>370</v>
      </c>
      <c r="C40" s="13">
        <v>18</v>
      </c>
      <c r="D40" s="12">
        <f t="shared" si="0"/>
        <v>45</v>
      </c>
      <c r="E40" s="13">
        <v>19</v>
      </c>
      <c r="F40" s="12">
        <f t="shared" si="1"/>
        <v>47.5</v>
      </c>
      <c r="G40" s="41">
        <v>24</v>
      </c>
      <c r="H40" s="14">
        <f t="shared" si="2"/>
        <v>60</v>
      </c>
      <c r="I40" s="72">
        <v>14</v>
      </c>
      <c r="J40" s="14">
        <f t="shared" si="3"/>
        <v>35</v>
      </c>
      <c r="K40" s="7">
        <v>31</v>
      </c>
      <c r="L40" s="14">
        <f t="shared" si="4"/>
        <v>77.5</v>
      </c>
      <c r="M40" s="34">
        <v>21</v>
      </c>
      <c r="N40" s="14">
        <f t="shared" si="5"/>
        <v>52.5</v>
      </c>
      <c r="O40" s="12">
        <f t="shared" si="6"/>
        <v>317.5</v>
      </c>
      <c r="P40" s="17">
        <f t="shared" si="7"/>
        <v>52.916666666666664</v>
      </c>
      <c r="Q40" s="22"/>
    </row>
    <row r="41" spans="1:17" ht="18">
      <c r="A41" s="86">
        <v>34</v>
      </c>
      <c r="B41" s="150" t="s">
        <v>371</v>
      </c>
      <c r="C41" s="41">
        <v>20</v>
      </c>
      <c r="D41" s="12">
        <f t="shared" si="0"/>
        <v>50</v>
      </c>
      <c r="E41" s="41">
        <v>25</v>
      </c>
      <c r="F41" s="12">
        <f t="shared" si="1"/>
        <v>62.5</v>
      </c>
      <c r="G41" s="41">
        <v>24</v>
      </c>
      <c r="H41" s="14">
        <f t="shared" si="2"/>
        <v>60</v>
      </c>
      <c r="I41" s="72">
        <v>13</v>
      </c>
      <c r="J41" s="88">
        <f t="shared" si="3"/>
        <v>32.5</v>
      </c>
      <c r="K41" s="7">
        <v>28</v>
      </c>
      <c r="L41" s="14">
        <f t="shared" si="4"/>
        <v>70</v>
      </c>
      <c r="M41" s="152">
        <v>23</v>
      </c>
      <c r="N41" s="14">
        <f t="shared" si="5"/>
        <v>57.499999999999993</v>
      </c>
      <c r="O41" s="12">
        <f t="shared" si="6"/>
        <v>332.5</v>
      </c>
      <c r="P41" s="17">
        <f t="shared" si="7"/>
        <v>55.416666666666671</v>
      </c>
      <c r="Q41" s="22"/>
    </row>
    <row r="42" spans="1:17" ht="18">
      <c r="A42" s="86">
        <v>35</v>
      </c>
      <c r="B42" s="150" t="s">
        <v>372</v>
      </c>
      <c r="C42" s="41">
        <v>33</v>
      </c>
      <c r="D42" s="12">
        <f t="shared" si="0"/>
        <v>82.5</v>
      </c>
      <c r="E42" s="41">
        <v>39</v>
      </c>
      <c r="F42" s="12">
        <f t="shared" si="1"/>
        <v>97.5</v>
      </c>
      <c r="G42" s="41">
        <v>39</v>
      </c>
      <c r="H42" s="14">
        <f t="shared" si="2"/>
        <v>97.5</v>
      </c>
      <c r="I42" s="72">
        <v>28</v>
      </c>
      <c r="J42" s="14">
        <f t="shared" si="3"/>
        <v>70</v>
      </c>
      <c r="K42" s="7">
        <v>40</v>
      </c>
      <c r="L42" s="14">
        <f t="shared" si="4"/>
        <v>100</v>
      </c>
      <c r="M42" s="34">
        <v>40</v>
      </c>
      <c r="N42" s="14">
        <f t="shared" si="5"/>
        <v>100</v>
      </c>
      <c r="O42" s="12">
        <f t="shared" si="6"/>
        <v>547.5</v>
      </c>
      <c r="P42" s="17">
        <f t="shared" si="7"/>
        <v>91.25</v>
      </c>
      <c r="Q42" s="22"/>
    </row>
    <row r="43" spans="1:17" ht="18">
      <c r="A43" s="86">
        <v>36</v>
      </c>
      <c r="B43" s="150" t="s">
        <v>373</v>
      </c>
      <c r="C43" s="41">
        <v>29</v>
      </c>
      <c r="D43" s="12">
        <f t="shared" si="0"/>
        <v>72.5</v>
      </c>
      <c r="E43" s="41">
        <v>34</v>
      </c>
      <c r="F43" s="12">
        <f t="shared" si="1"/>
        <v>85</v>
      </c>
      <c r="G43" s="41">
        <v>32</v>
      </c>
      <c r="H43" s="14">
        <f t="shared" si="2"/>
        <v>80</v>
      </c>
      <c r="I43" s="72">
        <v>15</v>
      </c>
      <c r="J43" s="14">
        <f t="shared" si="3"/>
        <v>37.5</v>
      </c>
      <c r="K43" s="7">
        <v>36</v>
      </c>
      <c r="L43" s="14">
        <f t="shared" si="4"/>
        <v>90</v>
      </c>
      <c r="M43" s="34">
        <v>33</v>
      </c>
      <c r="N43" s="14">
        <f t="shared" si="5"/>
        <v>82.5</v>
      </c>
      <c r="O43" s="12">
        <f t="shared" si="6"/>
        <v>447.5</v>
      </c>
      <c r="P43" s="17">
        <f t="shared" si="7"/>
        <v>74.583333333333329</v>
      </c>
      <c r="Q43" s="22"/>
    </row>
    <row r="44" spans="1:17" ht="18">
      <c r="A44" s="86">
        <v>37</v>
      </c>
      <c r="B44" s="150" t="s">
        <v>374</v>
      </c>
      <c r="C44" s="41">
        <v>27</v>
      </c>
      <c r="D44" s="12">
        <f t="shared" si="0"/>
        <v>67.5</v>
      </c>
      <c r="E44" s="41">
        <v>31</v>
      </c>
      <c r="F44" s="12">
        <f t="shared" si="1"/>
        <v>77.5</v>
      </c>
      <c r="G44" s="41">
        <v>32</v>
      </c>
      <c r="H44" s="14">
        <f t="shared" si="2"/>
        <v>80</v>
      </c>
      <c r="I44" s="72">
        <v>27</v>
      </c>
      <c r="J44" s="14">
        <f t="shared" si="3"/>
        <v>67.5</v>
      </c>
      <c r="K44" s="7">
        <v>38</v>
      </c>
      <c r="L44" s="14">
        <f t="shared" si="4"/>
        <v>95</v>
      </c>
      <c r="M44" s="34">
        <v>29</v>
      </c>
      <c r="N44" s="14">
        <f t="shared" si="5"/>
        <v>72.5</v>
      </c>
      <c r="O44" s="12">
        <f t="shared" si="6"/>
        <v>460</v>
      </c>
      <c r="P44" s="17">
        <f t="shared" si="7"/>
        <v>76.666666666666671</v>
      </c>
      <c r="Q44" s="22"/>
    </row>
    <row r="45" spans="1:17" ht="18">
      <c r="A45" s="86">
        <v>38</v>
      </c>
      <c r="B45" s="150" t="s">
        <v>375</v>
      </c>
      <c r="C45" s="41">
        <v>33</v>
      </c>
      <c r="D45" s="12">
        <f t="shared" si="0"/>
        <v>82.5</v>
      </c>
      <c r="E45" s="41">
        <v>28</v>
      </c>
      <c r="F45" s="12">
        <f t="shared" si="1"/>
        <v>70</v>
      </c>
      <c r="G45" s="41">
        <v>37</v>
      </c>
      <c r="H45" s="14">
        <f t="shared" si="2"/>
        <v>92.5</v>
      </c>
      <c r="I45" s="72">
        <v>19</v>
      </c>
      <c r="J45" s="14">
        <f t="shared" si="3"/>
        <v>47.5</v>
      </c>
      <c r="K45" s="7">
        <v>35</v>
      </c>
      <c r="L45" s="14">
        <f t="shared" si="4"/>
        <v>87.5</v>
      </c>
      <c r="M45" s="34">
        <v>12</v>
      </c>
      <c r="N45" s="14">
        <f t="shared" si="5"/>
        <v>30</v>
      </c>
      <c r="O45" s="12">
        <f t="shared" si="6"/>
        <v>410</v>
      </c>
      <c r="P45" s="17">
        <f t="shared" si="7"/>
        <v>68.333333333333329</v>
      </c>
      <c r="Q45" s="22"/>
    </row>
    <row r="46" spans="1:17" ht="18">
      <c r="A46" s="86">
        <v>39</v>
      </c>
      <c r="B46" s="150" t="s">
        <v>376</v>
      </c>
      <c r="C46" s="41">
        <v>31</v>
      </c>
      <c r="D46" s="12">
        <f t="shared" si="0"/>
        <v>77.5</v>
      </c>
      <c r="E46" s="41">
        <v>30</v>
      </c>
      <c r="F46" s="12">
        <f t="shared" si="1"/>
        <v>75</v>
      </c>
      <c r="G46" s="41">
        <v>39</v>
      </c>
      <c r="H46" s="14">
        <f t="shared" si="2"/>
        <v>97.5</v>
      </c>
      <c r="I46" s="72">
        <v>13</v>
      </c>
      <c r="J46" s="14">
        <f t="shared" si="3"/>
        <v>32.5</v>
      </c>
      <c r="K46" s="7">
        <v>31</v>
      </c>
      <c r="L46" s="14">
        <f t="shared" si="4"/>
        <v>77.5</v>
      </c>
      <c r="M46" s="34">
        <v>27</v>
      </c>
      <c r="N46" s="14">
        <f t="shared" si="5"/>
        <v>67.5</v>
      </c>
      <c r="O46" s="12">
        <f t="shared" si="6"/>
        <v>427.5</v>
      </c>
      <c r="P46" s="17">
        <f t="shared" si="7"/>
        <v>71.25</v>
      </c>
      <c r="Q46" s="22"/>
    </row>
    <row r="47" spans="1:17" ht="18">
      <c r="A47" s="86">
        <v>40</v>
      </c>
      <c r="B47" s="150" t="s">
        <v>377</v>
      </c>
      <c r="C47" s="41">
        <v>20</v>
      </c>
      <c r="D47" s="12">
        <f t="shared" si="0"/>
        <v>50</v>
      </c>
      <c r="E47" s="41">
        <v>21</v>
      </c>
      <c r="F47" s="12">
        <f t="shared" si="1"/>
        <v>52.5</v>
      </c>
      <c r="G47" s="41">
        <v>20</v>
      </c>
      <c r="H47" s="14">
        <f t="shared" si="2"/>
        <v>50</v>
      </c>
      <c r="I47" s="72">
        <v>10</v>
      </c>
      <c r="J47" s="88">
        <f t="shared" si="3"/>
        <v>25</v>
      </c>
      <c r="K47" s="7">
        <v>22</v>
      </c>
      <c r="L47" s="14">
        <f t="shared" si="4"/>
        <v>55.000000000000007</v>
      </c>
      <c r="M47" s="34">
        <v>30</v>
      </c>
      <c r="N47" s="14">
        <f t="shared" si="5"/>
        <v>75</v>
      </c>
      <c r="O47" s="12">
        <f t="shared" si="6"/>
        <v>307.5</v>
      </c>
      <c r="P47" s="17">
        <f t="shared" si="7"/>
        <v>51.249999999999993</v>
      </c>
      <c r="Q47" s="22"/>
    </row>
    <row r="48" spans="1:17" ht="18">
      <c r="A48" s="86">
        <v>41</v>
      </c>
      <c r="B48" s="150" t="s">
        <v>378</v>
      </c>
      <c r="C48" s="41"/>
      <c r="D48" s="12" t="str">
        <f t="shared" si="0"/>
        <v/>
      </c>
      <c r="E48" s="41" t="s">
        <v>23</v>
      </c>
      <c r="F48" s="12" t="e">
        <f t="shared" si="1"/>
        <v>#NAME?</v>
      </c>
      <c r="G48" s="41" t="s">
        <v>24</v>
      </c>
      <c r="H48" s="14" t="e">
        <f t="shared" si="2"/>
        <v>#NAME?</v>
      </c>
      <c r="I48" s="41">
        <v>6</v>
      </c>
      <c r="J48" s="88">
        <f t="shared" si="3"/>
        <v>15</v>
      </c>
      <c r="K48" s="41">
        <v>18</v>
      </c>
      <c r="L48" s="14">
        <f t="shared" si="4"/>
        <v>45</v>
      </c>
      <c r="M48" s="34" t="s">
        <v>24</v>
      </c>
      <c r="N48" s="14" t="e">
        <f t="shared" si="5"/>
        <v>#NAME?</v>
      </c>
      <c r="O48" s="12" t="e">
        <f t="shared" si="6"/>
        <v>#NAME?</v>
      </c>
      <c r="P48" s="17" t="e">
        <f t="shared" si="7"/>
        <v>#NAME?</v>
      </c>
      <c r="Q48" s="22"/>
    </row>
    <row r="49" spans="1:17" ht="18">
      <c r="A49" s="86">
        <v>42</v>
      </c>
      <c r="B49" s="150" t="s">
        <v>379</v>
      </c>
      <c r="C49" s="41">
        <v>25</v>
      </c>
      <c r="D49" s="12">
        <f t="shared" si="0"/>
        <v>62.5</v>
      </c>
      <c r="E49" s="41">
        <v>39</v>
      </c>
      <c r="F49" s="12">
        <f t="shared" si="1"/>
        <v>97.5</v>
      </c>
      <c r="G49" s="41">
        <v>28</v>
      </c>
      <c r="H49" s="14">
        <f t="shared" si="2"/>
        <v>70</v>
      </c>
      <c r="I49" s="41">
        <v>9</v>
      </c>
      <c r="J49" s="14">
        <f t="shared" si="3"/>
        <v>22.5</v>
      </c>
      <c r="K49" s="41">
        <v>31</v>
      </c>
      <c r="L49" s="14">
        <f t="shared" si="4"/>
        <v>77.5</v>
      </c>
      <c r="M49" s="34">
        <v>27</v>
      </c>
      <c r="N49" s="14">
        <f t="shared" si="5"/>
        <v>67.5</v>
      </c>
      <c r="O49" s="12">
        <f t="shared" si="6"/>
        <v>397.5</v>
      </c>
      <c r="P49" s="17">
        <f t="shared" si="7"/>
        <v>66.25</v>
      </c>
      <c r="Q49" s="22"/>
    </row>
    <row r="50" spans="1:17" ht="18">
      <c r="A50" s="86">
        <v>43</v>
      </c>
      <c r="B50" s="150" t="s">
        <v>380</v>
      </c>
      <c r="C50" s="41">
        <v>5</v>
      </c>
      <c r="D50" s="12">
        <f t="shared" si="0"/>
        <v>12.5</v>
      </c>
      <c r="E50" s="41">
        <v>13</v>
      </c>
      <c r="F50" s="12">
        <f t="shared" si="1"/>
        <v>32.5</v>
      </c>
      <c r="G50" s="41">
        <v>15</v>
      </c>
      <c r="H50" s="14">
        <f t="shared" si="2"/>
        <v>37.5</v>
      </c>
      <c r="I50" s="41">
        <v>1</v>
      </c>
      <c r="J50" s="88">
        <f t="shared" si="3"/>
        <v>2.5</v>
      </c>
      <c r="K50" s="41">
        <v>15</v>
      </c>
      <c r="L50" s="14">
        <f t="shared" si="4"/>
        <v>37.5</v>
      </c>
      <c r="M50" s="34">
        <v>6</v>
      </c>
      <c r="N50" s="14">
        <f t="shared" si="5"/>
        <v>15</v>
      </c>
      <c r="O50" s="12">
        <f t="shared" si="6"/>
        <v>137.5</v>
      </c>
      <c r="P50" s="17">
        <f t="shared" si="7"/>
        <v>22.916666666666664</v>
      </c>
      <c r="Q50" s="22"/>
    </row>
    <row r="51" spans="1:17" ht="18">
      <c r="A51" s="86">
        <v>44</v>
      </c>
      <c r="B51" s="22"/>
      <c r="C51" s="22"/>
      <c r="D51" s="37"/>
      <c r="E51" s="22"/>
      <c r="F51" s="37"/>
      <c r="G51" s="22"/>
      <c r="H51" s="38" t="str">
        <f t="shared" si="2"/>
        <v/>
      </c>
      <c r="I51" s="22"/>
      <c r="J51" s="38" t="str">
        <f t="shared" si="3"/>
        <v/>
      </c>
      <c r="K51" s="22"/>
      <c r="L51" s="38" t="str">
        <f t="shared" si="4"/>
        <v/>
      </c>
      <c r="M51" s="153"/>
      <c r="N51" s="38" t="str">
        <f t="shared" si="5"/>
        <v/>
      </c>
      <c r="O51" s="12">
        <f t="shared" si="6"/>
        <v>0</v>
      </c>
      <c r="P51" s="17">
        <f t="shared" si="7"/>
        <v>0</v>
      </c>
      <c r="Q51" s="22"/>
    </row>
    <row r="52" spans="1:17" ht="18">
      <c r="A52" s="86">
        <v>45</v>
      </c>
      <c r="B52" s="154"/>
      <c r="C52" s="22"/>
      <c r="D52" s="37" t="str">
        <f t="shared" ref="D52:D60" si="8">IF(C52="","",IF(C52="AB",AB,IF(C52="TC","TC",(C52/D$6)*100)))</f>
        <v/>
      </c>
      <c r="E52" s="22"/>
      <c r="F52" s="37" t="str">
        <f t="shared" ref="F52:F60" si="9">IF(E52="","",IF(E52="AB",AB,IF(E52="TC","TC",(E52/F$6)*100)))</f>
        <v/>
      </c>
      <c r="G52" s="22"/>
      <c r="H52" s="38" t="str">
        <f t="shared" si="2"/>
        <v/>
      </c>
      <c r="I52" s="22"/>
      <c r="J52" s="40" t="str">
        <f t="shared" si="3"/>
        <v/>
      </c>
      <c r="K52" s="22"/>
      <c r="L52" s="37" t="str">
        <f t="shared" si="4"/>
        <v/>
      </c>
      <c r="M52" s="37"/>
      <c r="N52" s="37" t="str">
        <f t="shared" si="5"/>
        <v/>
      </c>
      <c r="O52" s="12">
        <f t="shared" si="6"/>
        <v>0</v>
      </c>
      <c r="P52" s="17">
        <f t="shared" si="7"/>
        <v>0</v>
      </c>
      <c r="Q52" s="22" t="str">
        <f t="shared" ref="Q52:Q59" si="10">IF(P52=0,"",IF(T52="FAIL","FAIL","PASS"))</f>
        <v/>
      </c>
    </row>
    <row r="53" spans="1:17" ht="18">
      <c r="A53" s="86">
        <v>46</v>
      </c>
      <c r="B53" s="154"/>
      <c r="C53" s="22"/>
      <c r="D53" s="37" t="str">
        <f t="shared" si="8"/>
        <v/>
      </c>
      <c r="E53" s="22"/>
      <c r="F53" s="37" t="str">
        <f t="shared" si="9"/>
        <v/>
      </c>
      <c r="G53" s="22"/>
      <c r="H53" s="38" t="str">
        <f t="shared" si="2"/>
        <v/>
      </c>
      <c r="I53" s="22"/>
      <c r="J53" s="40" t="str">
        <f t="shared" si="3"/>
        <v/>
      </c>
      <c r="K53" s="22"/>
      <c r="L53" s="37" t="str">
        <f t="shared" si="4"/>
        <v/>
      </c>
      <c r="M53" s="37"/>
      <c r="N53" s="37" t="str">
        <f t="shared" si="5"/>
        <v/>
      </c>
      <c r="O53" s="12">
        <f t="shared" si="6"/>
        <v>0</v>
      </c>
      <c r="P53" s="17">
        <f t="shared" si="7"/>
        <v>0</v>
      </c>
      <c r="Q53" s="22" t="str">
        <f t="shared" si="10"/>
        <v/>
      </c>
    </row>
    <row r="54" spans="1:17" ht="18">
      <c r="A54" s="86">
        <v>47</v>
      </c>
      <c r="B54" s="22"/>
      <c r="C54" s="22"/>
      <c r="D54" s="37" t="str">
        <f t="shared" si="8"/>
        <v/>
      </c>
      <c r="E54" s="22"/>
      <c r="F54" s="37" t="str">
        <f t="shared" si="9"/>
        <v/>
      </c>
      <c r="G54" s="22"/>
      <c r="H54" s="38" t="str">
        <f t="shared" si="2"/>
        <v/>
      </c>
      <c r="I54" s="22"/>
      <c r="J54" s="40" t="str">
        <f t="shared" si="3"/>
        <v/>
      </c>
      <c r="K54" s="22"/>
      <c r="L54" s="37" t="str">
        <f t="shared" si="4"/>
        <v/>
      </c>
      <c r="M54" s="37"/>
      <c r="N54" s="37" t="str">
        <f t="shared" si="5"/>
        <v/>
      </c>
      <c r="O54" s="12">
        <f t="shared" si="6"/>
        <v>0</v>
      </c>
      <c r="P54" s="17">
        <f t="shared" si="7"/>
        <v>0</v>
      </c>
      <c r="Q54" s="22" t="str">
        <f t="shared" si="10"/>
        <v/>
      </c>
    </row>
    <row r="55" spans="1:17" ht="18">
      <c r="A55" s="86">
        <v>48</v>
      </c>
      <c r="B55" s="22"/>
      <c r="C55" s="37"/>
      <c r="D55" s="37" t="str">
        <f t="shared" si="8"/>
        <v/>
      </c>
      <c r="E55" s="37"/>
      <c r="F55" s="37" t="str">
        <f t="shared" si="9"/>
        <v/>
      </c>
      <c r="G55" s="38"/>
      <c r="H55" s="38" t="str">
        <f t="shared" si="2"/>
        <v/>
      </c>
      <c r="I55" s="22"/>
      <c r="J55" s="40" t="str">
        <f t="shared" si="3"/>
        <v/>
      </c>
      <c r="K55" s="37"/>
      <c r="L55" s="37" t="str">
        <f t="shared" si="4"/>
        <v/>
      </c>
      <c r="M55" s="37"/>
      <c r="N55" s="37" t="str">
        <f t="shared" si="5"/>
        <v/>
      </c>
      <c r="O55" s="12">
        <f t="shared" si="6"/>
        <v>0</v>
      </c>
      <c r="P55" s="17">
        <f t="shared" si="7"/>
        <v>0</v>
      </c>
      <c r="Q55" s="22" t="str">
        <f t="shared" si="10"/>
        <v/>
      </c>
    </row>
    <row r="56" spans="1:17" ht="18">
      <c r="A56" s="86">
        <v>49</v>
      </c>
      <c r="B56" s="22"/>
      <c r="C56" s="37"/>
      <c r="D56" s="37" t="str">
        <f t="shared" si="8"/>
        <v/>
      </c>
      <c r="E56" s="37"/>
      <c r="F56" s="37" t="str">
        <f t="shared" si="9"/>
        <v/>
      </c>
      <c r="G56" s="38"/>
      <c r="H56" s="38" t="str">
        <f t="shared" si="2"/>
        <v/>
      </c>
      <c r="I56" s="22"/>
      <c r="J56" s="40" t="str">
        <f t="shared" si="3"/>
        <v/>
      </c>
      <c r="K56" s="37"/>
      <c r="L56" s="37" t="str">
        <f t="shared" si="4"/>
        <v/>
      </c>
      <c r="M56" s="37"/>
      <c r="N56" s="37" t="str">
        <f t="shared" si="5"/>
        <v/>
      </c>
      <c r="O56" s="12">
        <f t="shared" si="6"/>
        <v>0</v>
      </c>
      <c r="P56" s="17">
        <f t="shared" si="7"/>
        <v>0</v>
      </c>
      <c r="Q56" s="22" t="str">
        <f t="shared" si="10"/>
        <v/>
      </c>
    </row>
    <row r="57" spans="1:17" ht="18">
      <c r="A57" s="86"/>
      <c r="B57" s="22"/>
      <c r="C57" s="37"/>
      <c r="D57" s="37" t="str">
        <f t="shared" si="8"/>
        <v/>
      </c>
      <c r="E57" s="37"/>
      <c r="F57" s="37" t="str">
        <f t="shared" si="9"/>
        <v/>
      </c>
      <c r="G57" s="38"/>
      <c r="H57" s="38" t="str">
        <f t="shared" si="2"/>
        <v/>
      </c>
      <c r="I57" s="22"/>
      <c r="J57" s="40" t="str">
        <f t="shared" si="3"/>
        <v/>
      </c>
      <c r="K57" s="37"/>
      <c r="L57" s="37" t="str">
        <f t="shared" si="4"/>
        <v/>
      </c>
      <c r="M57" s="37"/>
      <c r="N57" s="37" t="str">
        <f t="shared" si="5"/>
        <v/>
      </c>
      <c r="O57" s="12">
        <f t="shared" si="6"/>
        <v>0</v>
      </c>
      <c r="P57" s="17">
        <f t="shared" si="7"/>
        <v>0</v>
      </c>
      <c r="Q57" s="22" t="str">
        <f t="shared" si="10"/>
        <v/>
      </c>
    </row>
    <row r="58" spans="1:17" ht="18">
      <c r="A58" s="86"/>
      <c r="B58" s="22"/>
      <c r="C58" s="37"/>
      <c r="D58" s="37" t="str">
        <f t="shared" si="8"/>
        <v/>
      </c>
      <c r="E58" s="37"/>
      <c r="F58" s="37" t="str">
        <f t="shared" si="9"/>
        <v/>
      </c>
      <c r="G58" s="38"/>
      <c r="H58" s="38" t="str">
        <f t="shared" si="2"/>
        <v/>
      </c>
      <c r="I58" s="22"/>
      <c r="J58" s="40" t="str">
        <f t="shared" si="3"/>
        <v/>
      </c>
      <c r="K58" s="37"/>
      <c r="L58" s="37" t="str">
        <f t="shared" si="4"/>
        <v/>
      </c>
      <c r="M58" s="37"/>
      <c r="N58" s="37" t="str">
        <f t="shared" si="5"/>
        <v/>
      </c>
      <c r="O58" s="12">
        <f t="shared" si="6"/>
        <v>0</v>
      </c>
      <c r="P58" s="17">
        <f t="shared" si="7"/>
        <v>0</v>
      </c>
      <c r="Q58" s="22" t="str">
        <f t="shared" si="10"/>
        <v/>
      </c>
    </row>
    <row r="59" spans="1:17" ht="18">
      <c r="A59" s="86"/>
      <c r="B59" s="22"/>
      <c r="C59" s="37"/>
      <c r="D59" s="37" t="str">
        <f t="shared" si="8"/>
        <v/>
      </c>
      <c r="E59" s="37"/>
      <c r="F59" s="37" t="str">
        <f t="shared" si="9"/>
        <v/>
      </c>
      <c r="G59" s="38"/>
      <c r="H59" s="38" t="str">
        <f t="shared" si="2"/>
        <v/>
      </c>
      <c r="I59" s="22"/>
      <c r="J59" s="40" t="str">
        <f t="shared" si="3"/>
        <v/>
      </c>
      <c r="K59" s="37"/>
      <c r="L59" s="37" t="str">
        <f t="shared" si="4"/>
        <v/>
      </c>
      <c r="M59" s="37"/>
      <c r="N59" s="37" t="str">
        <f t="shared" si="5"/>
        <v/>
      </c>
      <c r="O59" s="12">
        <f t="shared" si="6"/>
        <v>0</v>
      </c>
      <c r="P59" s="17">
        <f t="shared" si="7"/>
        <v>0</v>
      </c>
      <c r="Q59" s="22" t="str">
        <f t="shared" si="10"/>
        <v/>
      </c>
    </row>
    <row r="60" spans="1:17" ht="18">
      <c r="A60" s="361" t="s">
        <v>70</v>
      </c>
      <c r="B60" s="362"/>
      <c r="C60" s="42">
        <f>IF(C63=0,"",SUM(C8:C59)/C63)</f>
        <v>26.707317073170731</v>
      </c>
      <c r="D60" s="12">
        <f t="shared" si="8"/>
        <v>66.768292682926827</v>
      </c>
      <c r="E60" s="42">
        <f>IF(E63=0,"",SUM(E8:E59)/E63)</f>
        <v>27.8</v>
      </c>
      <c r="F60" s="42">
        <f t="shared" si="9"/>
        <v>69.5</v>
      </c>
      <c r="G60" s="42">
        <f>IF(G63=0,"",SUM(G8:G59)/G63)</f>
        <v>27.857142857142858</v>
      </c>
      <c r="H60" s="42">
        <f t="shared" si="2"/>
        <v>69.642857142857139</v>
      </c>
      <c r="I60" s="42">
        <f>IF(I63=0,"",SUM(I8:I59)/I63)</f>
        <v>15.55813953488372</v>
      </c>
      <c r="J60" s="42">
        <f t="shared" si="3"/>
        <v>38.895348837209298</v>
      </c>
      <c r="K60" s="39"/>
      <c r="L60" s="39" t="str">
        <f t="shared" si="4"/>
        <v/>
      </c>
      <c r="M60" s="42">
        <f>IF(M63=0,"",SUM(M8:M59)/M63)</f>
        <v>27.928571428571427</v>
      </c>
      <c r="N60" s="42">
        <f t="shared" si="5"/>
        <v>69.821428571428569</v>
      </c>
      <c r="O60" s="12">
        <f t="shared" si="6"/>
        <v>314.6279272344218</v>
      </c>
      <c r="P60" s="17">
        <f t="shared" si="7"/>
        <v>52.437987872403639</v>
      </c>
      <c r="Q60" s="39"/>
    </row>
    <row r="61" spans="1:17" ht="34.799999999999997">
      <c r="A61" s="387" t="s">
        <v>71</v>
      </c>
      <c r="B61" s="107" t="s">
        <v>72</v>
      </c>
      <c r="C61" s="359">
        <f>COUNTA(C8:C59)</f>
        <v>41</v>
      </c>
      <c r="D61" s="360"/>
      <c r="E61" s="359">
        <f>COUNTA(E8:E59)</f>
        <v>43</v>
      </c>
      <c r="F61" s="360"/>
      <c r="G61" s="359">
        <f>COUNTA(G8:G59)</f>
        <v>43</v>
      </c>
      <c r="H61" s="360"/>
      <c r="I61" s="359">
        <f>COUNTA(I8:I59)</f>
        <v>43</v>
      </c>
      <c r="J61" s="360"/>
      <c r="K61" s="359">
        <f>COUNTA(K8:K59)</f>
        <v>43</v>
      </c>
      <c r="L61" s="360"/>
      <c r="M61" s="359">
        <f>COUNTA(M8:M59)</f>
        <v>43</v>
      </c>
      <c r="N61" s="360"/>
      <c r="O61" s="359" t="s">
        <v>15</v>
      </c>
      <c r="P61" s="378"/>
      <c r="Q61" s="360"/>
    </row>
    <row r="62" spans="1:17" ht="17.399999999999999">
      <c r="A62" s="381"/>
      <c r="B62" s="45" t="s">
        <v>73</v>
      </c>
      <c r="C62" s="361">
        <f>C61-C63</f>
        <v>0</v>
      </c>
      <c r="D62" s="362"/>
      <c r="E62" s="361">
        <f>E61-E63</f>
        <v>3</v>
      </c>
      <c r="F62" s="362"/>
      <c r="G62" s="361">
        <f>G61-G63</f>
        <v>1</v>
      </c>
      <c r="H62" s="362"/>
      <c r="I62" s="361">
        <f>I61-I63</f>
        <v>0</v>
      </c>
      <c r="J62" s="362"/>
      <c r="K62" s="361">
        <f>K61-K63</f>
        <v>0</v>
      </c>
      <c r="L62" s="362"/>
      <c r="M62" s="361">
        <f>M61-M63</f>
        <v>1</v>
      </c>
      <c r="N62" s="362"/>
      <c r="O62" s="361">
        <f>COUNTIF(R8:R59,0)</f>
        <v>0</v>
      </c>
      <c r="P62" s="364"/>
      <c r="Q62" s="362"/>
    </row>
    <row r="63" spans="1:17" ht="17.399999999999999">
      <c r="A63" s="381"/>
      <c r="B63" s="46" t="s">
        <v>74</v>
      </c>
      <c r="C63" s="361">
        <f>COUNTIFS(D8:D59,"&gt;0")</f>
        <v>41</v>
      </c>
      <c r="D63" s="362"/>
      <c r="E63" s="361">
        <f>COUNTIFS(F8:F59,"&gt;0")</f>
        <v>40</v>
      </c>
      <c r="F63" s="362"/>
      <c r="G63" s="361">
        <f>COUNTIFS(H8:H59,"&gt;0")</f>
        <v>42</v>
      </c>
      <c r="H63" s="362"/>
      <c r="I63" s="361">
        <f>COUNTIFS(J8:J59,"&gt;0")</f>
        <v>43</v>
      </c>
      <c r="J63" s="362"/>
      <c r="K63" s="361">
        <f>COUNTIFS(L8:L59,"&gt;0")</f>
        <v>43</v>
      </c>
      <c r="L63" s="362"/>
      <c r="M63" s="361">
        <f>COUNTIFS(N8:N59,"&gt;0")</f>
        <v>42</v>
      </c>
      <c r="N63" s="362"/>
      <c r="O63" s="372"/>
      <c r="P63" s="364"/>
      <c r="Q63" s="362"/>
    </row>
    <row r="64" spans="1:17" ht="17.399999999999999">
      <c r="A64" s="381"/>
      <c r="B64" s="46" t="s">
        <v>75</v>
      </c>
      <c r="C64" s="361">
        <f>C63-C66</f>
        <v>40</v>
      </c>
      <c r="D64" s="362"/>
      <c r="E64" s="361">
        <f>E63-E66</f>
        <v>40</v>
      </c>
      <c r="F64" s="362"/>
      <c r="G64" s="361">
        <f>G63-G66</f>
        <v>42</v>
      </c>
      <c r="H64" s="362"/>
      <c r="I64" s="361">
        <f>I63-I66</f>
        <v>33</v>
      </c>
      <c r="J64" s="362"/>
      <c r="K64" s="361">
        <f>K63-K66</f>
        <v>43</v>
      </c>
      <c r="L64" s="362"/>
      <c r="M64" s="361">
        <f>M63-M66</f>
        <v>38</v>
      </c>
      <c r="N64" s="362"/>
      <c r="O64" s="361">
        <f>COUNTIF(Q8:Q59,"PASS")</f>
        <v>0</v>
      </c>
      <c r="P64" s="364"/>
      <c r="Q64" s="362"/>
    </row>
    <row r="65" spans="1:17" ht="17.399999999999999">
      <c r="A65" s="381"/>
      <c r="B65" s="46" t="s">
        <v>76</v>
      </c>
      <c r="C65" s="363">
        <f>IF(C63=0,"",(C64/C63)*100)</f>
        <v>97.560975609756099</v>
      </c>
      <c r="D65" s="362"/>
      <c r="E65" s="363">
        <f>IF(E63=0,"",(E64/E63)*100)</f>
        <v>100</v>
      </c>
      <c r="F65" s="362"/>
      <c r="G65" s="363">
        <f>IF(G63=0,"",(G64/G63)*100)</f>
        <v>100</v>
      </c>
      <c r="H65" s="362"/>
      <c r="I65" s="363">
        <f>IF(I63=0,"",(I64/I63)*100)</f>
        <v>76.744186046511629</v>
      </c>
      <c r="J65" s="362"/>
      <c r="K65" s="363">
        <f>IF(K63=0,"",(K64/K63)*100)</f>
        <v>100</v>
      </c>
      <c r="L65" s="362"/>
      <c r="M65" s="363">
        <f>IF(M63=0,"",(M64/M63)*100)</f>
        <v>90.476190476190482</v>
      </c>
      <c r="N65" s="362"/>
      <c r="O65" s="386" t="str">
        <f>IF(O63=0,"",(O64/O63)*100)</f>
        <v/>
      </c>
      <c r="P65" s="364"/>
      <c r="Q65" s="362"/>
    </row>
    <row r="66" spans="1:17" ht="17.399999999999999">
      <c r="A66" s="381"/>
      <c r="B66" s="46" t="s">
        <v>77</v>
      </c>
      <c r="C66" s="361">
        <f>COUNTIFS(D8:D59,"&lt;=32",D8:D59,"&gt; 0")</f>
        <v>1</v>
      </c>
      <c r="D66" s="362"/>
      <c r="E66" s="361">
        <f>COUNTIFS(F8:F59,"&lt;=32",F8:F59,"&gt; 0")</f>
        <v>0</v>
      </c>
      <c r="F66" s="362"/>
      <c r="G66" s="361">
        <f>COUNTIFS(H8:H59,"&lt;=32",H8:H59,"&gt; 0")</f>
        <v>0</v>
      </c>
      <c r="H66" s="362"/>
      <c r="I66" s="361">
        <f>COUNTIFS(J8:J59,"&lt;=32",J8:J59,"&gt; 0")</f>
        <v>10</v>
      </c>
      <c r="J66" s="362"/>
      <c r="K66" s="361">
        <f>COUNTIFS(L8:L59,"&lt;=32",L8:L59,"&gt; 0")</f>
        <v>0</v>
      </c>
      <c r="L66" s="362"/>
      <c r="M66" s="361">
        <f>COUNTIFS(N8:N59,"&lt;=32",N8:N59,"&gt; 0")</f>
        <v>4</v>
      </c>
      <c r="N66" s="362"/>
      <c r="O66" s="361">
        <f>COUNTIFS(P8:P59,"&lt;=32",P8:P59,"&gt; 0")</f>
        <v>1</v>
      </c>
      <c r="P66" s="364"/>
      <c r="Q66" s="362"/>
    </row>
    <row r="67" spans="1:17" ht="17.399999999999999">
      <c r="A67" s="381"/>
      <c r="B67" s="46" t="s">
        <v>78</v>
      </c>
      <c r="C67" s="361">
        <f>COUNTIFS(D8:D59,"&gt;=32.1",D8:D59,"&lt;=44")</f>
        <v>3</v>
      </c>
      <c r="D67" s="362"/>
      <c r="E67" s="361">
        <f>COUNTIFS(F8:F59,"&gt;=32.1",F8:F59,"&lt;=44")</f>
        <v>5</v>
      </c>
      <c r="F67" s="362"/>
      <c r="G67" s="361">
        <f>COUNTIFS(H8:H59,"&gt;=32.1",H8:H59,"&lt;=44")</f>
        <v>4</v>
      </c>
      <c r="H67" s="362"/>
      <c r="I67" s="361">
        <f>COUNTIFS(J8:J59,"&gt;=32.1",J8:J59,"&lt;=44")</f>
        <v>18</v>
      </c>
      <c r="J67" s="362"/>
      <c r="K67" s="361">
        <f>COUNTIFS(L8:L59,"&gt;=32.1",L8:L59,"&lt;=44")</f>
        <v>2</v>
      </c>
      <c r="L67" s="362"/>
      <c r="M67" s="361">
        <f>COUNTIFS(N8:N59,"&gt;=32.1",N8:N59,"&lt;=44")</f>
        <v>2</v>
      </c>
      <c r="N67" s="362"/>
      <c r="O67" s="361">
        <f>COUNTIFS(P8:P59,"&gt;=32.1",P8:P59,"&lt;=44")</f>
        <v>2</v>
      </c>
      <c r="P67" s="364"/>
      <c r="Q67" s="362"/>
    </row>
    <row r="68" spans="1:17" ht="17.399999999999999">
      <c r="A68" s="381"/>
      <c r="B68" s="46" t="s">
        <v>79</v>
      </c>
      <c r="C68" s="361">
        <f>COUNTIFS(D8:D59,"&gt;=44.1",D8:D59,"&lt;=59")</f>
        <v>8</v>
      </c>
      <c r="D68" s="362"/>
      <c r="E68" s="361">
        <f>COUNTIFS(F8:F59,"&gt;=44.1",F8:F59,"&lt;=59")</f>
        <v>6</v>
      </c>
      <c r="F68" s="362"/>
      <c r="G68" s="361">
        <f>COUNTIFS(H8:H59,"&gt;=44.1",H8:H59,"&lt;=59")</f>
        <v>10</v>
      </c>
      <c r="H68" s="362"/>
      <c r="I68" s="361">
        <f>COUNTIFS(J8:J59,"&gt;=44.1",J8:J59,"&lt;=59")</f>
        <v>9</v>
      </c>
      <c r="J68" s="362"/>
      <c r="K68" s="372"/>
      <c r="L68" s="362"/>
      <c r="M68" s="361">
        <f>COUNTIFS(N8:N59,"&gt;=44.1",N8:N59,"&lt;=59")</f>
        <v>5</v>
      </c>
      <c r="N68" s="362"/>
      <c r="O68" s="361">
        <f>COUNTIFS(P8:P59,"&gt;=44.1",P8:P59,"&lt;=59")</f>
        <v>11</v>
      </c>
      <c r="P68" s="364"/>
      <c r="Q68" s="362"/>
    </row>
    <row r="69" spans="1:17" ht="17.399999999999999">
      <c r="A69" s="381"/>
      <c r="B69" s="46" t="s">
        <v>80</v>
      </c>
      <c r="C69" s="361">
        <f>COUNTIFS(D8:D59,"&gt;=59.1",D8:D59,"&lt;=74")</f>
        <v>12</v>
      </c>
      <c r="D69" s="362"/>
      <c r="E69" s="361">
        <f>COUNTIFS(F8:F59,"&gt;=59.1",F8:F59,"&lt;=74")</f>
        <v>11</v>
      </c>
      <c r="F69" s="362"/>
      <c r="G69" s="361">
        <f>COUNTIFS(H8:H59,"&gt;=59.1",H8:H59,"&lt;=74")</f>
        <v>9</v>
      </c>
      <c r="H69" s="362"/>
      <c r="I69" s="361">
        <f>COUNTIFS(J8:J59,"&gt;=59.1",J8:J59,"&lt;=74")</f>
        <v>6</v>
      </c>
      <c r="J69" s="362"/>
      <c r="K69" s="361">
        <f>COUNTIFS(L8:L59,"&gt;=59.1",L8:L59,"&lt;=74")</f>
        <v>7</v>
      </c>
      <c r="L69" s="362"/>
      <c r="M69" s="361">
        <f>COUNTIFS(N8:N59,"&gt;=59.1",N8:N59,"&lt;=74")</f>
        <v>11</v>
      </c>
      <c r="N69" s="362"/>
      <c r="O69" s="361">
        <f>COUNTIFS(P8:P59,"&gt;=59.1",P8:P59,"&lt;=74")</f>
        <v>12</v>
      </c>
      <c r="P69" s="364"/>
      <c r="Q69" s="362"/>
    </row>
    <row r="70" spans="1:17" ht="17.399999999999999">
      <c r="A70" s="381"/>
      <c r="B70" s="46" t="s">
        <v>81</v>
      </c>
      <c r="C70" s="361">
        <f>COUNTIFS(D8:D59,"&gt;=74.1",D8:D59,"&lt;89")</f>
        <v>14</v>
      </c>
      <c r="D70" s="362"/>
      <c r="E70" s="361">
        <f>COUNTIFS(F8:F59,"&gt;=74.1",F8:F59,"&lt;89")</f>
        <v>12</v>
      </c>
      <c r="F70" s="362"/>
      <c r="G70" s="361">
        <f>COUNTIFS(H8:H59,"&gt;=74.1",H8:H59,"&lt;89")</f>
        <v>10</v>
      </c>
      <c r="H70" s="362"/>
      <c r="I70" s="361">
        <f>COUNTIFS(J8:J59,"&gt;=74.1",J8:J59,"&lt;89")</f>
        <v>0</v>
      </c>
      <c r="J70" s="362"/>
      <c r="K70" s="361">
        <f>COUNTIFS(L8:L59,"&gt;=74.1",L8:L59,"&lt;89")</f>
        <v>15</v>
      </c>
      <c r="L70" s="362"/>
      <c r="M70" s="361">
        <f>COUNTIFS(N8:N59,"&gt;=74.1",N8:N59,"&lt;89")</f>
        <v>11</v>
      </c>
      <c r="N70" s="362"/>
      <c r="O70" s="361">
        <f>COUNTIFS(P8:P59,"&gt;=74.1",P8:P59,"&lt;89")</f>
        <v>11</v>
      </c>
      <c r="P70" s="364"/>
      <c r="Q70" s="362"/>
    </row>
    <row r="71" spans="1:17" ht="17.399999999999999">
      <c r="A71" s="382"/>
      <c r="B71" s="48" t="s">
        <v>82</v>
      </c>
      <c r="C71" s="370">
        <f>COUNTIF(D8:D59,"&gt;=89.1")</f>
        <v>3</v>
      </c>
      <c r="D71" s="371"/>
      <c r="E71" s="370">
        <f>COUNTIF(F8:F59,"&gt;=89.1")</f>
        <v>6</v>
      </c>
      <c r="F71" s="371"/>
      <c r="G71" s="370">
        <f>COUNTIF(H8:H59,"&gt;=89.1")</f>
        <v>9</v>
      </c>
      <c r="H71" s="371"/>
      <c r="I71" s="370">
        <f>COUNTIF(J8:J59,"&gt;=89.1")</f>
        <v>0</v>
      </c>
      <c r="J71" s="371"/>
      <c r="K71" s="370">
        <f>COUNTIF(L8:L59,"&gt;=89.1")</f>
        <v>15</v>
      </c>
      <c r="L71" s="371"/>
      <c r="M71" s="370">
        <f>COUNTIF(N8:N59,"&gt;=89.1")</f>
        <v>9</v>
      </c>
      <c r="N71" s="371"/>
      <c r="O71" s="361">
        <f>COUNTIF(P8:P59,"&gt;=89.1")</f>
        <v>3</v>
      </c>
      <c r="P71" s="364"/>
      <c r="Q71" s="362"/>
    </row>
    <row r="72" spans="1:17" ht="17.399999999999999">
      <c r="A72" s="388" t="s">
        <v>83</v>
      </c>
      <c r="B72" s="364"/>
      <c r="C72" s="361" t="s">
        <v>381</v>
      </c>
      <c r="D72" s="362"/>
      <c r="E72" s="372"/>
      <c r="F72" s="362"/>
      <c r="G72" s="361" t="s">
        <v>382</v>
      </c>
      <c r="H72" s="362"/>
      <c r="I72" s="372"/>
      <c r="J72" s="362"/>
      <c r="K72" s="372"/>
      <c r="L72" s="362"/>
      <c r="M72" s="372"/>
      <c r="N72" s="362"/>
      <c r="O72" s="367" t="s">
        <v>84</v>
      </c>
      <c r="P72" s="364"/>
      <c r="Q72" s="49" t="str">
        <f>IF(O63=0,"",O62/O63*100)</f>
        <v/>
      </c>
    </row>
    <row r="73" spans="1:17" ht="17.399999999999999">
      <c r="A73" s="389" t="s">
        <v>85</v>
      </c>
      <c r="B73" s="369"/>
      <c r="C73" s="390"/>
      <c r="D73" s="369"/>
      <c r="E73" s="369"/>
      <c r="F73" s="369"/>
      <c r="G73" s="369"/>
      <c r="H73" s="369"/>
      <c r="I73" s="369"/>
      <c r="J73" s="369"/>
      <c r="K73" s="369"/>
      <c r="L73" s="369"/>
      <c r="M73" s="368" t="s">
        <v>86</v>
      </c>
      <c r="N73" s="369"/>
      <c r="O73" s="369"/>
      <c r="P73" s="369"/>
      <c r="Q73" s="369"/>
    </row>
  </sheetData>
  <mergeCells count="109">
    <mergeCell ref="A72:B72"/>
    <mergeCell ref="C72:D72"/>
    <mergeCell ref="E72:F72"/>
    <mergeCell ref="G72:H72"/>
    <mergeCell ref="I72:J72"/>
    <mergeCell ref="K72:L72"/>
    <mergeCell ref="A73:B73"/>
    <mergeCell ref="C73:L73"/>
    <mergeCell ref="A60:B60"/>
    <mergeCell ref="A61:A71"/>
    <mergeCell ref="E61:F61"/>
    <mergeCell ref="G61:H61"/>
    <mergeCell ref="K62:L62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C70:D70"/>
    <mergeCell ref="E70:F70"/>
    <mergeCell ref="G70:H70"/>
    <mergeCell ref="M64:N64"/>
    <mergeCell ref="O64:Q64"/>
    <mergeCell ref="O65:Q65"/>
    <mergeCell ref="K70:L70"/>
    <mergeCell ref="C71:D71"/>
    <mergeCell ref="E71:F71"/>
    <mergeCell ref="G71:H71"/>
    <mergeCell ref="I71:J71"/>
    <mergeCell ref="K71:L71"/>
    <mergeCell ref="I70:J70"/>
    <mergeCell ref="M61:N61"/>
    <mergeCell ref="O61:Q61"/>
    <mergeCell ref="C62:D62"/>
    <mergeCell ref="E62:F62"/>
    <mergeCell ref="G62:H62"/>
    <mergeCell ref="I62:J62"/>
    <mergeCell ref="M62:N62"/>
    <mergeCell ref="O62:Q62"/>
    <mergeCell ref="E63:F63"/>
    <mergeCell ref="G63:H63"/>
    <mergeCell ref="M63:N63"/>
    <mergeCell ref="O63:Q63"/>
    <mergeCell ref="A1:Q1"/>
    <mergeCell ref="A2:D2"/>
    <mergeCell ref="E2:J2"/>
    <mergeCell ref="K2:Q2"/>
    <mergeCell ref="A3:B3"/>
    <mergeCell ref="C3:D3"/>
    <mergeCell ref="E3:J3"/>
    <mergeCell ref="M5:N5"/>
    <mergeCell ref="O5:P5"/>
    <mergeCell ref="K3:Q3"/>
    <mergeCell ref="A4:Q4"/>
    <mergeCell ref="A5:A7"/>
    <mergeCell ref="B5:B7"/>
    <mergeCell ref="C5:D5"/>
    <mergeCell ref="E5:F5"/>
    <mergeCell ref="G5:H5"/>
    <mergeCell ref="Q5:Q7"/>
    <mergeCell ref="I5:J5"/>
    <mergeCell ref="K5:L5"/>
    <mergeCell ref="M65:N65"/>
    <mergeCell ref="M66:N66"/>
    <mergeCell ref="O66:Q66"/>
    <mergeCell ref="M67:N67"/>
    <mergeCell ref="O67:Q67"/>
    <mergeCell ref="M68:N68"/>
    <mergeCell ref="O68:Q68"/>
    <mergeCell ref="O72:P72"/>
    <mergeCell ref="M73:Q73"/>
    <mergeCell ref="M69:N69"/>
    <mergeCell ref="O69:Q69"/>
    <mergeCell ref="M70:N70"/>
    <mergeCell ref="O70:Q70"/>
    <mergeCell ref="M71:N71"/>
    <mergeCell ref="O71:Q71"/>
    <mergeCell ref="M72:N72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C61:D61"/>
    <mergeCell ref="C63:D63"/>
    <mergeCell ref="I63:J63"/>
    <mergeCell ref="K63:L63"/>
    <mergeCell ref="C64:D64"/>
    <mergeCell ref="E64:F64"/>
    <mergeCell ref="G64:H64"/>
    <mergeCell ref="I64:J64"/>
    <mergeCell ref="K64:L64"/>
    <mergeCell ref="I61:J61"/>
    <mergeCell ref="K61:L6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R66"/>
  <sheetViews>
    <sheetView workbookViewId="0"/>
  </sheetViews>
  <sheetFormatPr defaultColWidth="12.6640625" defaultRowHeight="15.75" customHeight="1"/>
  <cols>
    <col min="2" max="2" width="24" customWidth="1"/>
  </cols>
  <sheetData>
    <row r="1" spans="1:18" ht="30">
      <c r="A1" s="392" t="s">
        <v>87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</row>
    <row r="2" spans="1:18" ht="22.8">
      <c r="A2" s="373" t="s">
        <v>0</v>
      </c>
      <c r="B2" s="366"/>
      <c r="C2" s="366"/>
      <c r="D2" s="366"/>
      <c r="E2" s="366"/>
      <c r="F2" s="374" t="s">
        <v>1</v>
      </c>
      <c r="G2" s="366"/>
      <c r="H2" s="366"/>
      <c r="I2" s="366"/>
      <c r="J2" s="366"/>
      <c r="K2" s="366"/>
      <c r="L2" s="375" t="s">
        <v>2</v>
      </c>
      <c r="M2" s="366"/>
      <c r="N2" s="366"/>
      <c r="O2" s="366"/>
      <c r="P2" s="366"/>
      <c r="Q2" s="366"/>
      <c r="R2" s="366"/>
    </row>
    <row r="3" spans="1:18" ht="22.8">
      <c r="A3" s="383" t="s">
        <v>141</v>
      </c>
      <c r="B3" s="366"/>
      <c r="C3" s="374" t="s">
        <v>383</v>
      </c>
      <c r="D3" s="366"/>
      <c r="E3" s="366"/>
      <c r="F3" s="374" t="s">
        <v>4</v>
      </c>
      <c r="G3" s="366"/>
      <c r="H3" s="366"/>
      <c r="I3" s="366"/>
      <c r="J3" s="366"/>
      <c r="K3" s="366"/>
      <c r="L3" s="374" t="s">
        <v>5</v>
      </c>
      <c r="M3" s="366"/>
      <c r="N3" s="366"/>
      <c r="O3" s="366"/>
      <c r="P3" s="366"/>
      <c r="Q3" s="366"/>
      <c r="R3" s="366"/>
    </row>
    <row r="4" spans="1:18" ht="18">
      <c r="A4" s="377" t="s">
        <v>384</v>
      </c>
      <c r="B4" s="378"/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8"/>
      <c r="O4" s="378"/>
      <c r="P4" s="378"/>
      <c r="Q4" s="378"/>
      <c r="R4" s="378"/>
    </row>
    <row r="5" spans="1:18" ht="13.2">
      <c r="A5" s="384" t="s">
        <v>7</v>
      </c>
      <c r="B5" s="385" t="s">
        <v>8</v>
      </c>
      <c r="C5" s="379" t="s">
        <v>9</v>
      </c>
      <c r="D5" s="378"/>
      <c r="E5" s="360"/>
      <c r="F5" s="379" t="s">
        <v>10</v>
      </c>
      <c r="G5" s="360"/>
      <c r="H5" s="379" t="s">
        <v>11</v>
      </c>
      <c r="I5" s="360"/>
      <c r="J5" s="379" t="s">
        <v>12</v>
      </c>
      <c r="K5" s="360"/>
      <c r="L5" s="379" t="s">
        <v>13</v>
      </c>
      <c r="M5" s="360"/>
      <c r="N5" s="379" t="s">
        <v>14</v>
      </c>
      <c r="O5" s="360"/>
      <c r="P5" s="367" t="s">
        <v>15</v>
      </c>
      <c r="Q5" s="362"/>
      <c r="R5" s="380" t="s">
        <v>16</v>
      </c>
    </row>
    <row r="6" spans="1:18" ht="13.2">
      <c r="A6" s="381"/>
      <c r="B6" s="381"/>
      <c r="C6" s="4" t="s">
        <v>17</v>
      </c>
      <c r="D6" s="4"/>
      <c r="E6" s="5">
        <v>40</v>
      </c>
      <c r="F6" s="4" t="s">
        <v>17</v>
      </c>
      <c r="G6" s="5">
        <v>40</v>
      </c>
      <c r="H6" s="4" t="s">
        <v>17</v>
      </c>
      <c r="I6" s="5">
        <v>40</v>
      </c>
      <c r="J6" s="4" t="s">
        <v>17</v>
      </c>
      <c r="K6" s="5">
        <v>40</v>
      </c>
      <c r="L6" s="4" t="s">
        <v>17</v>
      </c>
      <c r="M6" s="5">
        <v>40</v>
      </c>
      <c r="N6" s="4" t="s">
        <v>17</v>
      </c>
      <c r="O6" s="5">
        <v>40</v>
      </c>
      <c r="P6" s="4" t="s">
        <v>17</v>
      </c>
      <c r="Q6" s="5">
        <v>600</v>
      </c>
      <c r="R6" s="381"/>
    </row>
    <row r="7" spans="1:18" ht="13.8">
      <c r="A7" s="382"/>
      <c r="B7" s="382"/>
      <c r="C7" s="6" t="s">
        <v>18</v>
      </c>
      <c r="D7" s="6"/>
      <c r="E7" s="6" t="s">
        <v>19</v>
      </c>
      <c r="F7" s="6" t="s">
        <v>18</v>
      </c>
      <c r="G7" s="6" t="s">
        <v>19</v>
      </c>
      <c r="H7" s="6" t="s">
        <v>18</v>
      </c>
      <c r="I7" s="6" t="s">
        <v>19</v>
      </c>
      <c r="J7" s="6" t="s">
        <v>18</v>
      </c>
      <c r="K7" s="6" t="s">
        <v>19</v>
      </c>
      <c r="L7" s="6" t="s">
        <v>18</v>
      </c>
      <c r="M7" s="6" t="s">
        <v>19</v>
      </c>
      <c r="N7" s="6" t="s">
        <v>18</v>
      </c>
      <c r="O7" s="6" t="s">
        <v>19</v>
      </c>
      <c r="P7" s="6" t="s">
        <v>18</v>
      </c>
      <c r="Q7" s="6" t="s">
        <v>19</v>
      </c>
      <c r="R7" s="382"/>
    </row>
    <row r="8" spans="1:18" ht="18">
      <c r="A8" s="86">
        <v>1</v>
      </c>
      <c r="B8" s="155" t="s">
        <v>385</v>
      </c>
      <c r="C8" s="41">
        <v>22</v>
      </c>
      <c r="D8" s="41"/>
      <c r="E8" s="12">
        <f>IF(C8="","",IF(C8="AB","AB",IF(C8="TC","TC",(C8/E$6)*100)))</f>
        <v>55.000000000000007</v>
      </c>
      <c r="F8" s="120">
        <v>30</v>
      </c>
      <c r="G8" s="12">
        <f t="shared" ref="G8:G50" si="0">IF(F8="","",IF(F8="AB",AB,IF(F8="TC","TC",(F8/G$6)*100)))</f>
        <v>75</v>
      </c>
      <c r="H8" s="13">
        <v>24</v>
      </c>
      <c r="I8" s="12">
        <f t="shared" ref="I8:I48" si="1">IF(H8="","",IF(H8="AB",AB,IF(H8="TC","TC",(H8/I$6)*100)))</f>
        <v>60</v>
      </c>
      <c r="J8" s="72">
        <v>26</v>
      </c>
      <c r="K8" s="12">
        <f t="shared" ref="K8:K48" si="2">IF(J8="","",IF(J8="AB",AB,IF(J8="TC","TC",(J8/K$6)*100)))</f>
        <v>65</v>
      </c>
      <c r="L8" s="156">
        <v>30</v>
      </c>
      <c r="M8" s="12">
        <f t="shared" ref="M8:M50" si="3">IF(L8="","",IF(L8="AB",AB,IF(L8="TC","TC",(L8/M$6)*100)))</f>
        <v>75</v>
      </c>
      <c r="N8" s="34">
        <v>31</v>
      </c>
      <c r="O8" s="12">
        <f t="shared" ref="O8:O48" si="4">IF(N8="","",IF(N8="AB",AB,IF(N8="TC","TC",(N8/O$6)*100)))</f>
        <v>77.5</v>
      </c>
      <c r="P8" s="12">
        <f t="shared" ref="P8:P48" si="5">SUM(E8,G8,I8,K8,M8,O8)</f>
        <v>407.5</v>
      </c>
      <c r="Q8" s="17">
        <f t="shared" ref="Q8:Q48" si="6">IF(P8="","",IF(P8="AB","AB",(P8/Q$6)*100))</f>
        <v>67.916666666666671</v>
      </c>
      <c r="R8" s="22"/>
    </row>
    <row r="9" spans="1:18" ht="18">
      <c r="A9" s="86">
        <v>2</v>
      </c>
      <c r="B9" s="157" t="s">
        <v>386</v>
      </c>
      <c r="C9" s="41">
        <v>27</v>
      </c>
      <c r="D9" s="41"/>
      <c r="E9" s="12">
        <f t="shared" ref="E9:E50" si="7">IF(C9="","",IF(C9="AB",AB,IF(C9="TC","TC",(C9/E$6)*100)))</f>
        <v>67.5</v>
      </c>
      <c r="F9" s="60">
        <v>33</v>
      </c>
      <c r="G9" s="12">
        <f t="shared" si="0"/>
        <v>82.5</v>
      </c>
      <c r="H9" s="41">
        <v>27</v>
      </c>
      <c r="I9" s="12">
        <f t="shared" si="1"/>
        <v>67.5</v>
      </c>
      <c r="J9" s="72">
        <v>18</v>
      </c>
      <c r="K9" s="12">
        <f t="shared" si="2"/>
        <v>45</v>
      </c>
      <c r="L9" s="62">
        <v>23</v>
      </c>
      <c r="M9" s="12">
        <f t="shared" si="3"/>
        <v>57.499999999999993</v>
      </c>
      <c r="N9" s="34">
        <v>37</v>
      </c>
      <c r="O9" s="12">
        <f t="shared" si="4"/>
        <v>92.5</v>
      </c>
      <c r="P9" s="12">
        <f t="shared" si="5"/>
        <v>412.5</v>
      </c>
      <c r="Q9" s="17">
        <f t="shared" si="6"/>
        <v>68.75</v>
      </c>
      <c r="R9" s="22"/>
    </row>
    <row r="10" spans="1:18" ht="18">
      <c r="A10" s="86">
        <v>3</v>
      </c>
      <c r="B10" s="157" t="s">
        <v>387</v>
      </c>
      <c r="C10" s="41">
        <v>33</v>
      </c>
      <c r="D10" s="41"/>
      <c r="E10" s="12">
        <f t="shared" si="7"/>
        <v>82.5</v>
      </c>
      <c r="F10" s="60">
        <v>30</v>
      </c>
      <c r="G10" s="12">
        <f t="shared" si="0"/>
        <v>75</v>
      </c>
      <c r="H10" s="41">
        <v>30</v>
      </c>
      <c r="I10" s="12">
        <f t="shared" si="1"/>
        <v>75</v>
      </c>
      <c r="J10" s="72">
        <v>28</v>
      </c>
      <c r="K10" s="12">
        <f t="shared" si="2"/>
        <v>70</v>
      </c>
      <c r="L10" s="62">
        <v>27</v>
      </c>
      <c r="M10" s="12">
        <f t="shared" si="3"/>
        <v>67.5</v>
      </c>
      <c r="N10" s="34">
        <v>22</v>
      </c>
      <c r="O10" s="12">
        <f t="shared" si="4"/>
        <v>55.000000000000007</v>
      </c>
      <c r="P10" s="12">
        <f t="shared" si="5"/>
        <v>425</v>
      </c>
      <c r="Q10" s="17">
        <f t="shared" si="6"/>
        <v>70.833333333333343</v>
      </c>
      <c r="R10" s="22"/>
    </row>
    <row r="11" spans="1:18" ht="18">
      <c r="A11" s="86">
        <v>4</v>
      </c>
      <c r="B11" s="157" t="s">
        <v>388</v>
      </c>
      <c r="C11" s="41">
        <v>17</v>
      </c>
      <c r="D11" s="41"/>
      <c r="E11" s="12">
        <f t="shared" si="7"/>
        <v>42.5</v>
      </c>
      <c r="F11" s="60">
        <v>10</v>
      </c>
      <c r="G11" s="12">
        <f t="shared" si="0"/>
        <v>25</v>
      </c>
      <c r="H11" s="41">
        <v>33</v>
      </c>
      <c r="I11" s="12">
        <f t="shared" si="1"/>
        <v>82.5</v>
      </c>
      <c r="J11" s="72">
        <v>4</v>
      </c>
      <c r="K11" s="12">
        <f t="shared" si="2"/>
        <v>10</v>
      </c>
      <c r="L11" s="62">
        <v>15</v>
      </c>
      <c r="M11" s="12">
        <f t="shared" si="3"/>
        <v>37.5</v>
      </c>
      <c r="N11" s="34">
        <v>32</v>
      </c>
      <c r="O11" s="12">
        <f t="shared" si="4"/>
        <v>80</v>
      </c>
      <c r="P11" s="12">
        <f t="shared" si="5"/>
        <v>277.5</v>
      </c>
      <c r="Q11" s="17">
        <f t="shared" si="6"/>
        <v>46.25</v>
      </c>
      <c r="R11" s="22"/>
    </row>
    <row r="12" spans="1:18" ht="18">
      <c r="A12" s="86">
        <v>5</v>
      </c>
      <c r="B12" s="157" t="s">
        <v>389</v>
      </c>
      <c r="C12" s="41">
        <v>37</v>
      </c>
      <c r="D12" s="41"/>
      <c r="E12" s="12">
        <f t="shared" si="7"/>
        <v>92.5</v>
      </c>
      <c r="F12" s="60">
        <v>34</v>
      </c>
      <c r="G12" s="12">
        <f t="shared" si="0"/>
        <v>85</v>
      </c>
      <c r="H12" s="41">
        <v>33</v>
      </c>
      <c r="I12" s="12">
        <f t="shared" si="1"/>
        <v>82.5</v>
      </c>
      <c r="J12" s="72">
        <v>36</v>
      </c>
      <c r="K12" s="12">
        <f t="shared" si="2"/>
        <v>90</v>
      </c>
      <c r="L12" s="62">
        <v>38</v>
      </c>
      <c r="M12" s="12">
        <f t="shared" si="3"/>
        <v>95</v>
      </c>
      <c r="N12" s="34">
        <v>39</v>
      </c>
      <c r="O12" s="12">
        <f t="shared" si="4"/>
        <v>97.5</v>
      </c>
      <c r="P12" s="12">
        <f t="shared" si="5"/>
        <v>542.5</v>
      </c>
      <c r="Q12" s="17">
        <f t="shared" si="6"/>
        <v>90.416666666666671</v>
      </c>
      <c r="R12" s="22"/>
    </row>
    <row r="13" spans="1:18" ht="18">
      <c r="A13" s="86">
        <v>6</v>
      </c>
      <c r="B13" s="157" t="s">
        <v>390</v>
      </c>
      <c r="C13" s="41">
        <v>29</v>
      </c>
      <c r="D13" s="41"/>
      <c r="E13" s="12">
        <f t="shared" si="7"/>
        <v>72.5</v>
      </c>
      <c r="F13" s="60">
        <v>16</v>
      </c>
      <c r="G13" s="12">
        <f t="shared" si="0"/>
        <v>40</v>
      </c>
      <c r="H13" s="41">
        <v>20</v>
      </c>
      <c r="I13" s="70">
        <f t="shared" si="1"/>
        <v>50</v>
      </c>
      <c r="J13" s="72">
        <v>24</v>
      </c>
      <c r="K13" s="12">
        <f t="shared" si="2"/>
        <v>60</v>
      </c>
      <c r="L13" s="62">
        <v>26</v>
      </c>
      <c r="M13" s="12">
        <f t="shared" si="3"/>
        <v>65</v>
      </c>
      <c r="N13" s="34">
        <v>20</v>
      </c>
      <c r="O13" s="12">
        <f t="shared" si="4"/>
        <v>50</v>
      </c>
      <c r="P13" s="12">
        <f t="shared" si="5"/>
        <v>337.5</v>
      </c>
      <c r="Q13" s="17">
        <f t="shared" si="6"/>
        <v>56.25</v>
      </c>
      <c r="R13" s="22"/>
    </row>
    <row r="14" spans="1:18" ht="18">
      <c r="A14" s="86">
        <v>7</v>
      </c>
      <c r="B14" s="157" t="s">
        <v>391</v>
      </c>
      <c r="C14" s="41">
        <v>29</v>
      </c>
      <c r="D14" s="41"/>
      <c r="E14" s="12">
        <f t="shared" si="7"/>
        <v>72.5</v>
      </c>
      <c r="F14" s="60">
        <v>37</v>
      </c>
      <c r="G14" s="12">
        <f t="shared" si="0"/>
        <v>92.5</v>
      </c>
      <c r="H14" s="41">
        <v>35</v>
      </c>
      <c r="I14" s="12">
        <f t="shared" si="1"/>
        <v>87.5</v>
      </c>
      <c r="J14" s="72">
        <v>34</v>
      </c>
      <c r="K14" s="12">
        <f t="shared" si="2"/>
        <v>85</v>
      </c>
      <c r="L14" s="66">
        <v>39</v>
      </c>
      <c r="M14" s="12">
        <f t="shared" si="3"/>
        <v>97.5</v>
      </c>
      <c r="N14" s="34">
        <v>33</v>
      </c>
      <c r="O14" s="12">
        <f t="shared" si="4"/>
        <v>82.5</v>
      </c>
      <c r="P14" s="12">
        <f t="shared" si="5"/>
        <v>517.5</v>
      </c>
      <c r="Q14" s="17">
        <f t="shared" si="6"/>
        <v>86.25</v>
      </c>
      <c r="R14" s="22"/>
    </row>
    <row r="15" spans="1:18" ht="18">
      <c r="A15" s="86">
        <v>8</v>
      </c>
      <c r="B15" s="157" t="s">
        <v>392</v>
      </c>
      <c r="C15" s="41">
        <v>35</v>
      </c>
      <c r="D15" s="41"/>
      <c r="E15" s="12">
        <f t="shared" si="7"/>
        <v>87.5</v>
      </c>
      <c r="F15" s="60">
        <v>38</v>
      </c>
      <c r="G15" s="12">
        <f t="shared" si="0"/>
        <v>95</v>
      </c>
      <c r="H15" s="41">
        <v>35</v>
      </c>
      <c r="I15" s="12">
        <f t="shared" si="1"/>
        <v>87.5</v>
      </c>
      <c r="J15" s="72">
        <v>40</v>
      </c>
      <c r="K15" s="12">
        <f t="shared" si="2"/>
        <v>100</v>
      </c>
      <c r="L15" s="66">
        <v>40</v>
      </c>
      <c r="M15" s="12">
        <f t="shared" si="3"/>
        <v>100</v>
      </c>
      <c r="N15" s="34">
        <v>38</v>
      </c>
      <c r="O15" s="12">
        <f t="shared" si="4"/>
        <v>95</v>
      </c>
      <c r="P15" s="12">
        <f t="shared" si="5"/>
        <v>565</v>
      </c>
      <c r="Q15" s="17">
        <f t="shared" si="6"/>
        <v>94.166666666666671</v>
      </c>
      <c r="R15" s="22"/>
    </row>
    <row r="16" spans="1:18" ht="18">
      <c r="A16" s="86">
        <v>9</v>
      </c>
      <c r="B16" s="157" t="s">
        <v>393</v>
      </c>
      <c r="C16" s="41">
        <v>31</v>
      </c>
      <c r="D16" s="41"/>
      <c r="E16" s="12">
        <f t="shared" si="7"/>
        <v>77.5</v>
      </c>
      <c r="F16" s="60">
        <v>30</v>
      </c>
      <c r="G16" s="12">
        <f t="shared" si="0"/>
        <v>75</v>
      </c>
      <c r="H16" s="13">
        <v>18</v>
      </c>
      <c r="I16" s="70">
        <f t="shared" si="1"/>
        <v>45</v>
      </c>
      <c r="J16" s="72">
        <v>10</v>
      </c>
      <c r="K16" s="12">
        <f t="shared" si="2"/>
        <v>25</v>
      </c>
      <c r="L16" s="62">
        <v>27</v>
      </c>
      <c r="M16" s="12">
        <f t="shared" si="3"/>
        <v>67.5</v>
      </c>
      <c r="N16" s="34">
        <v>30</v>
      </c>
      <c r="O16" s="12">
        <f t="shared" si="4"/>
        <v>75</v>
      </c>
      <c r="P16" s="12">
        <f t="shared" si="5"/>
        <v>365</v>
      </c>
      <c r="Q16" s="17">
        <f t="shared" si="6"/>
        <v>60.833333333333329</v>
      </c>
      <c r="R16" s="22"/>
    </row>
    <row r="17" spans="1:18" ht="18">
      <c r="A17" s="86">
        <v>10</v>
      </c>
      <c r="B17" s="157" t="s">
        <v>394</v>
      </c>
      <c r="C17" s="41">
        <v>37</v>
      </c>
      <c r="D17" s="41"/>
      <c r="E17" s="12">
        <f t="shared" si="7"/>
        <v>92.5</v>
      </c>
      <c r="F17" s="60">
        <v>35</v>
      </c>
      <c r="G17" s="12">
        <f t="shared" si="0"/>
        <v>87.5</v>
      </c>
      <c r="H17" s="13">
        <v>21</v>
      </c>
      <c r="I17" s="12">
        <f t="shared" si="1"/>
        <v>52.5</v>
      </c>
      <c r="J17" s="72">
        <v>27</v>
      </c>
      <c r="K17" s="12">
        <f t="shared" si="2"/>
        <v>67.5</v>
      </c>
      <c r="L17" s="62">
        <v>36</v>
      </c>
      <c r="M17" s="12">
        <f t="shared" si="3"/>
        <v>90</v>
      </c>
      <c r="N17" s="34">
        <v>31</v>
      </c>
      <c r="O17" s="12">
        <f t="shared" si="4"/>
        <v>77.5</v>
      </c>
      <c r="P17" s="12">
        <f t="shared" si="5"/>
        <v>467.5</v>
      </c>
      <c r="Q17" s="17">
        <f t="shared" si="6"/>
        <v>77.916666666666671</v>
      </c>
      <c r="R17" s="22"/>
    </row>
    <row r="18" spans="1:18" ht="18">
      <c r="A18" s="86">
        <v>11</v>
      </c>
      <c r="B18" s="157" t="s">
        <v>395</v>
      </c>
      <c r="C18" s="41">
        <v>36</v>
      </c>
      <c r="D18" s="41"/>
      <c r="E18" s="12">
        <f t="shared" si="7"/>
        <v>90</v>
      </c>
      <c r="F18" s="60">
        <v>34</v>
      </c>
      <c r="G18" s="12">
        <f t="shared" si="0"/>
        <v>85</v>
      </c>
      <c r="H18" s="41">
        <v>37</v>
      </c>
      <c r="I18" s="12">
        <f t="shared" si="1"/>
        <v>92.5</v>
      </c>
      <c r="J18" s="41">
        <v>34</v>
      </c>
      <c r="K18" s="12">
        <f t="shared" si="2"/>
        <v>85</v>
      </c>
      <c r="L18" s="158">
        <v>39</v>
      </c>
      <c r="M18" s="12">
        <f t="shared" si="3"/>
        <v>97.5</v>
      </c>
      <c r="N18" s="34">
        <v>40</v>
      </c>
      <c r="O18" s="12">
        <f t="shared" si="4"/>
        <v>100</v>
      </c>
      <c r="P18" s="12">
        <f t="shared" si="5"/>
        <v>550</v>
      </c>
      <c r="Q18" s="17">
        <f t="shared" si="6"/>
        <v>91.666666666666657</v>
      </c>
      <c r="R18" s="22"/>
    </row>
    <row r="19" spans="1:18" ht="18">
      <c r="A19" s="86">
        <v>12</v>
      </c>
      <c r="B19" s="157" t="s">
        <v>396</v>
      </c>
      <c r="C19" s="41">
        <v>21</v>
      </c>
      <c r="D19" s="41"/>
      <c r="E19" s="12">
        <f t="shared" si="7"/>
        <v>52.5</v>
      </c>
      <c r="F19" s="60">
        <v>20</v>
      </c>
      <c r="G19" s="12">
        <f t="shared" si="0"/>
        <v>50</v>
      </c>
      <c r="H19" s="13">
        <v>17</v>
      </c>
      <c r="I19" s="12">
        <f t="shared" si="1"/>
        <v>42.5</v>
      </c>
      <c r="J19" s="72">
        <v>18</v>
      </c>
      <c r="K19" s="12">
        <f t="shared" si="2"/>
        <v>45</v>
      </c>
      <c r="L19" s="62">
        <v>26</v>
      </c>
      <c r="M19" s="12">
        <f t="shared" si="3"/>
        <v>65</v>
      </c>
      <c r="N19" s="34">
        <v>24</v>
      </c>
      <c r="O19" s="12">
        <f t="shared" si="4"/>
        <v>60</v>
      </c>
      <c r="P19" s="12">
        <f t="shared" si="5"/>
        <v>315</v>
      </c>
      <c r="Q19" s="17">
        <f t="shared" si="6"/>
        <v>52.5</v>
      </c>
      <c r="R19" s="22"/>
    </row>
    <row r="20" spans="1:18" ht="18">
      <c r="A20" s="86">
        <v>13</v>
      </c>
      <c r="B20" s="157" t="s">
        <v>397</v>
      </c>
      <c r="C20" s="159">
        <v>24</v>
      </c>
      <c r="D20" s="159"/>
      <c r="E20" s="12">
        <f t="shared" si="7"/>
        <v>60</v>
      </c>
      <c r="F20" s="60">
        <v>33</v>
      </c>
      <c r="G20" s="12">
        <f t="shared" si="0"/>
        <v>82.5</v>
      </c>
      <c r="H20" s="41">
        <v>26</v>
      </c>
      <c r="I20" s="12">
        <f t="shared" si="1"/>
        <v>65</v>
      </c>
      <c r="J20" s="72">
        <v>34</v>
      </c>
      <c r="K20" s="12">
        <f t="shared" si="2"/>
        <v>85</v>
      </c>
      <c r="L20" s="62">
        <v>32</v>
      </c>
      <c r="M20" s="12">
        <f t="shared" si="3"/>
        <v>80</v>
      </c>
      <c r="N20" s="34">
        <v>27</v>
      </c>
      <c r="O20" s="12">
        <f t="shared" si="4"/>
        <v>67.5</v>
      </c>
      <c r="P20" s="12">
        <f t="shared" si="5"/>
        <v>440</v>
      </c>
      <c r="Q20" s="17">
        <f t="shared" si="6"/>
        <v>73.333333333333329</v>
      </c>
      <c r="R20" s="22"/>
    </row>
    <row r="21" spans="1:18" ht="18">
      <c r="A21" s="86">
        <v>14</v>
      </c>
      <c r="B21" s="157" t="s">
        <v>398</v>
      </c>
      <c r="C21" s="41">
        <v>35</v>
      </c>
      <c r="D21" s="41"/>
      <c r="E21" s="12">
        <f t="shared" si="7"/>
        <v>87.5</v>
      </c>
      <c r="F21" s="60">
        <v>37</v>
      </c>
      <c r="G21" s="12">
        <f t="shared" si="0"/>
        <v>92.5</v>
      </c>
      <c r="H21" s="41">
        <v>38</v>
      </c>
      <c r="I21" s="12">
        <f t="shared" si="1"/>
        <v>95</v>
      </c>
      <c r="J21" s="72">
        <v>34</v>
      </c>
      <c r="K21" s="12">
        <f t="shared" si="2"/>
        <v>85</v>
      </c>
      <c r="L21" s="62">
        <v>39</v>
      </c>
      <c r="M21" s="12">
        <f t="shared" si="3"/>
        <v>97.5</v>
      </c>
      <c r="N21" s="34">
        <v>36</v>
      </c>
      <c r="O21" s="12">
        <f t="shared" si="4"/>
        <v>90</v>
      </c>
      <c r="P21" s="12">
        <f t="shared" si="5"/>
        <v>547.5</v>
      </c>
      <c r="Q21" s="17">
        <f t="shared" si="6"/>
        <v>91.25</v>
      </c>
      <c r="R21" s="22"/>
    </row>
    <row r="22" spans="1:18" ht="18">
      <c r="A22" s="86">
        <v>15</v>
      </c>
      <c r="B22" s="157" t="s">
        <v>399</v>
      </c>
      <c r="C22" s="41">
        <v>25</v>
      </c>
      <c r="D22" s="41"/>
      <c r="E22" s="12">
        <f t="shared" si="7"/>
        <v>62.5</v>
      </c>
      <c r="F22" s="60">
        <v>15</v>
      </c>
      <c r="G22" s="12">
        <f t="shared" si="0"/>
        <v>37.5</v>
      </c>
      <c r="H22" s="41">
        <v>26</v>
      </c>
      <c r="I22" s="12">
        <f t="shared" si="1"/>
        <v>65</v>
      </c>
      <c r="J22" s="72">
        <v>15</v>
      </c>
      <c r="K22" s="12">
        <f t="shared" si="2"/>
        <v>37.5</v>
      </c>
      <c r="L22" s="62">
        <v>18</v>
      </c>
      <c r="M22" s="12">
        <f t="shared" si="3"/>
        <v>45</v>
      </c>
      <c r="N22" s="34">
        <v>17</v>
      </c>
      <c r="O22" s="12">
        <f t="shared" si="4"/>
        <v>42.5</v>
      </c>
      <c r="P22" s="12">
        <f t="shared" si="5"/>
        <v>290</v>
      </c>
      <c r="Q22" s="17">
        <f t="shared" si="6"/>
        <v>48.333333333333336</v>
      </c>
      <c r="R22" s="22"/>
    </row>
    <row r="23" spans="1:18" ht="18">
      <c r="A23" s="86">
        <v>16</v>
      </c>
      <c r="B23" s="157" t="s">
        <v>400</v>
      </c>
      <c r="C23" s="41">
        <v>26</v>
      </c>
      <c r="D23" s="41"/>
      <c r="E23" s="12">
        <f t="shared" si="7"/>
        <v>65</v>
      </c>
      <c r="F23" s="60">
        <v>25</v>
      </c>
      <c r="G23" s="12">
        <f t="shared" si="0"/>
        <v>62.5</v>
      </c>
      <c r="H23" s="41">
        <v>27</v>
      </c>
      <c r="I23" s="12">
        <f t="shared" si="1"/>
        <v>67.5</v>
      </c>
      <c r="J23" s="72">
        <v>28</v>
      </c>
      <c r="K23" s="12">
        <f t="shared" si="2"/>
        <v>70</v>
      </c>
      <c r="L23" s="62">
        <v>29</v>
      </c>
      <c r="M23" s="12">
        <f t="shared" si="3"/>
        <v>72.5</v>
      </c>
      <c r="N23" s="34">
        <v>29</v>
      </c>
      <c r="O23" s="12">
        <f t="shared" si="4"/>
        <v>72.5</v>
      </c>
      <c r="P23" s="12">
        <f t="shared" si="5"/>
        <v>410</v>
      </c>
      <c r="Q23" s="17">
        <f t="shared" si="6"/>
        <v>68.333333333333329</v>
      </c>
      <c r="R23" s="22"/>
    </row>
    <row r="24" spans="1:18" ht="57.75" customHeight="1">
      <c r="A24" s="86">
        <v>17</v>
      </c>
      <c r="B24" s="157" t="s">
        <v>401</v>
      </c>
      <c r="C24" s="41">
        <v>36</v>
      </c>
      <c r="D24" s="41"/>
      <c r="E24" s="12">
        <f t="shared" si="7"/>
        <v>90</v>
      </c>
      <c r="F24" s="60">
        <v>34</v>
      </c>
      <c r="G24" s="12">
        <f t="shared" si="0"/>
        <v>85</v>
      </c>
      <c r="H24" s="151">
        <v>34</v>
      </c>
      <c r="I24" s="12">
        <f t="shared" si="1"/>
        <v>85</v>
      </c>
      <c r="J24" s="72">
        <v>26</v>
      </c>
      <c r="K24" s="12">
        <f t="shared" si="2"/>
        <v>65</v>
      </c>
      <c r="L24" s="62">
        <v>33</v>
      </c>
      <c r="M24" s="12">
        <f t="shared" si="3"/>
        <v>82.5</v>
      </c>
      <c r="N24" s="34">
        <v>31</v>
      </c>
      <c r="O24" s="12">
        <f t="shared" si="4"/>
        <v>77.5</v>
      </c>
      <c r="P24" s="12">
        <f t="shared" si="5"/>
        <v>485</v>
      </c>
      <c r="Q24" s="17">
        <f t="shared" si="6"/>
        <v>80.833333333333329</v>
      </c>
      <c r="R24" s="22"/>
    </row>
    <row r="25" spans="1:18" ht="18">
      <c r="A25" s="86">
        <v>18</v>
      </c>
      <c r="B25" s="157" t="s">
        <v>402</v>
      </c>
      <c r="C25" s="41">
        <v>37</v>
      </c>
      <c r="D25" s="41"/>
      <c r="E25" s="12">
        <f t="shared" si="7"/>
        <v>92.5</v>
      </c>
      <c r="F25" s="60">
        <v>39</v>
      </c>
      <c r="G25" s="12">
        <f t="shared" si="0"/>
        <v>97.5</v>
      </c>
      <c r="H25" s="41">
        <v>37</v>
      </c>
      <c r="I25" s="12">
        <f t="shared" si="1"/>
        <v>92.5</v>
      </c>
      <c r="J25" s="72">
        <v>37</v>
      </c>
      <c r="K25" s="12">
        <f t="shared" si="2"/>
        <v>92.5</v>
      </c>
      <c r="L25" s="66">
        <v>40</v>
      </c>
      <c r="M25" s="12">
        <f t="shared" si="3"/>
        <v>100</v>
      </c>
      <c r="N25" s="34">
        <v>40</v>
      </c>
      <c r="O25" s="12">
        <f t="shared" si="4"/>
        <v>100</v>
      </c>
      <c r="P25" s="12">
        <f t="shared" si="5"/>
        <v>575</v>
      </c>
      <c r="Q25" s="17">
        <f t="shared" si="6"/>
        <v>95.833333333333343</v>
      </c>
      <c r="R25" s="22"/>
    </row>
    <row r="26" spans="1:18" ht="18">
      <c r="A26" s="86">
        <v>19</v>
      </c>
      <c r="B26" s="157" t="s">
        <v>403</v>
      </c>
      <c r="C26" s="41">
        <v>23</v>
      </c>
      <c r="D26" s="41"/>
      <c r="E26" s="12">
        <f t="shared" si="7"/>
        <v>57.499999999999993</v>
      </c>
      <c r="F26" s="18">
        <v>40</v>
      </c>
      <c r="G26" s="37">
        <f t="shared" si="0"/>
        <v>100</v>
      </c>
      <c r="H26" s="41">
        <v>15</v>
      </c>
      <c r="I26" s="70">
        <f t="shared" si="1"/>
        <v>37.5</v>
      </c>
      <c r="J26" s="72">
        <v>17</v>
      </c>
      <c r="K26" s="12">
        <f t="shared" si="2"/>
        <v>42.5</v>
      </c>
      <c r="L26" s="66">
        <v>16</v>
      </c>
      <c r="M26" s="12">
        <f t="shared" si="3"/>
        <v>40</v>
      </c>
      <c r="N26" s="34">
        <v>15</v>
      </c>
      <c r="O26" s="12">
        <f t="shared" si="4"/>
        <v>37.5</v>
      </c>
      <c r="P26" s="12">
        <f t="shared" si="5"/>
        <v>315</v>
      </c>
      <c r="Q26" s="17">
        <f t="shared" si="6"/>
        <v>52.5</v>
      </c>
      <c r="R26" s="22"/>
    </row>
    <row r="27" spans="1:18" ht="18">
      <c r="A27" s="86">
        <v>20</v>
      </c>
      <c r="B27" s="157" t="s">
        <v>404</v>
      </c>
      <c r="C27" s="41">
        <v>35</v>
      </c>
      <c r="D27" s="41"/>
      <c r="E27" s="12">
        <f t="shared" si="7"/>
        <v>87.5</v>
      </c>
      <c r="F27" s="60">
        <v>18</v>
      </c>
      <c r="G27" s="12">
        <f t="shared" si="0"/>
        <v>45</v>
      </c>
      <c r="H27" s="41">
        <v>38</v>
      </c>
      <c r="I27" s="12">
        <f t="shared" si="1"/>
        <v>95</v>
      </c>
      <c r="J27" s="72">
        <v>34</v>
      </c>
      <c r="K27" s="12">
        <f t="shared" si="2"/>
        <v>85</v>
      </c>
      <c r="L27" s="62">
        <v>36</v>
      </c>
      <c r="M27" s="12">
        <f t="shared" si="3"/>
        <v>90</v>
      </c>
      <c r="N27" s="34">
        <v>39</v>
      </c>
      <c r="O27" s="12">
        <f t="shared" si="4"/>
        <v>97.5</v>
      </c>
      <c r="P27" s="12">
        <f t="shared" si="5"/>
        <v>500</v>
      </c>
      <c r="Q27" s="17">
        <f t="shared" si="6"/>
        <v>83.333333333333343</v>
      </c>
      <c r="R27" s="22"/>
    </row>
    <row r="28" spans="1:18" ht="18">
      <c r="A28" s="86">
        <v>21</v>
      </c>
      <c r="B28" s="157" t="s">
        <v>405</v>
      </c>
      <c r="C28" s="41">
        <v>23</v>
      </c>
      <c r="D28" s="41"/>
      <c r="E28" s="12">
        <f t="shared" si="7"/>
        <v>57.499999999999993</v>
      </c>
      <c r="F28" s="60">
        <v>24</v>
      </c>
      <c r="G28" s="12">
        <f t="shared" si="0"/>
        <v>60</v>
      </c>
      <c r="H28" s="41">
        <v>27</v>
      </c>
      <c r="I28" s="12">
        <f t="shared" si="1"/>
        <v>67.5</v>
      </c>
      <c r="J28" s="72">
        <v>30</v>
      </c>
      <c r="K28" s="12">
        <f t="shared" si="2"/>
        <v>75</v>
      </c>
      <c r="L28" s="62">
        <v>21</v>
      </c>
      <c r="M28" s="12">
        <f t="shared" si="3"/>
        <v>52.5</v>
      </c>
      <c r="N28" s="34">
        <v>25</v>
      </c>
      <c r="O28" s="12">
        <f t="shared" si="4"/>
        <v>62.5</v>
      </c>
      <c r="P28" s="12">
        <f t="shared" si="5"/>
        <v>375</v>
      </c>
      <c r="Q28" s="17">
        <f t="shared" si="6"/>
        <v>62.5</v>
      </c>
      <c r="R28" s="22"/>
    </row>
    <row r="29" spans="1:18" ht="18">
      <c r="A29" s="86">
        <v>22</v>
      </c>
      <c r="B29" s="157" t="s">
        <v>406</v>
      </c>
      <c r="C29" s="41">
        <v>24</v>
      </c>
      <c r="D29" s="41"/>
      <c r="E29" s="12">
        <f t="shared" si="7"/>
        <v>60</v>
      </c>
      <c r="F29" s="60">
        <v>20</v>
      </c>
      <c r="G29" s="12">
        <f t="shared" si="0"/>
        <v>50</v>
      </c>
      <c r="H29" s="41">
        <v>27</v>
      </c>
      <c r="I29" s="12">
        <f t="shared" si="1"/>
        <v>67.5</v>
      </c>
      <c r="J29" s="72">
        <v>17</v>
      </c>
      <c r="K29" s="12">
        <f t="shared" si="2"/>
        <v>42.5</v>
      </c>
      <c r="L29" s="66">
        <v>18</v>
      </c>
      <c r="M29" s="12">
        <f t="shared" si="3"/>
        <v>45</v>
      </c>
      <c r="N29" s="34">
        <v>27</v>
      </c>
      <c r="O29" s="12">
        <f t="shared" si="4"/>
        <v>67.5</v>
      </c>
      <c r="P29" s="12">
        <f t="shared" si="5"/>
        <v>332.5</v>
      </c>
      <c r="Q29" s="17">
        <f t="shared" si="6"/>
        <v>55.416666666666671</v>
      </c>
      <c r="R29" s="22"/>
    </row>
    <row r="30" spans="1:18" ht="18">
      <c r="A30" s="86">
        <v>23</v>
      </c>
      <c r="B30" s="157" t="s">
        <v>407</v>
      </c>
      <c r="C30" s="41">
        <v>31</v>
      </c>
      <c r="D30" s="41"/>
      <c r="E30" s="12">
        <f t="shared" si="7"/>
        <v>77.5</v>
      </c>
      <c r="F30" s="60">
        <v>28</v>
      </c>
      <c r="G30" s="12">
        <f t="shared" si="0"/>
        <v>70</v>
      </c>
      <c r="H30" s="41">
        <v>17</v>
      </c>
      <c r="I30" s="12">
        <f t="shared" si="1"/>
        <v>42.5</v>
      </c>
      <c r="J30" s="72">
        <v>13</v>
      </c>
      <c r="K30" s="12">
        <f t="shared" si="2"/>
        <v>32.5</v>
      </c>
      <c r="L30" s="62">
        <v>15</v>
      </c>
      <c r="M30" s="12">
        <f t="shared" si="3"/>
        <v>37.5</v>
      </c>
      <c r="N30" s="34">
        <v>19</v>
      </c>
      <c r="O30" s="12">
        <f t="shared" si="4"/>
        <v>47.5</v>
      </c>
      <c r="P30" s="12">
        <f t="shared" si="5"/>
        <v>307.5</v>
      </c>
      <c r="Q30" s="17">
        <f t="shared" si="6"/>
        <v>51.249999999999993</v>
      </c>
      <c r="R30" s="22"/>
    </row>
    <row r="31" spans="1:18" ht="18">
      <c r="A31" s="86">
        <v>24</v>
      </c>
      <c r="B31" s="157" t="s">
        <v>408</v>
      </c>
      <c r="C31" s="41">
        <v>36</v>
      </c>
      <c r="D31" s="41"/>
      <c r="E31" s="12">
        <f t="shared" si="7"/>
        <v>90</v>
      </c>
      <c r="F31" s="60">
        <v>28</v>
      </c>
      <c r="G31" s="12">
        <f t="shared" si="0"/>
        <v>70</v>
      </c>
      <c r="H31" s="41">
        <v>24</v>
      </c>
      <c r="I31" s="12">
        <f t="shared" si="1"/>
        <v>60</v>
      </c>
      <c r="J31" s="72">
        <v>17</v>
      </c>
      <c r="K31" s="12">
        <f t="shared" si="2"/>
        <v>42.5</v>
      </c>
      <c r="L31" s="66">
        <v>22</v>
      </c>
      <c r="M31" s="12">
        <f t="shared" si="3"/>
        <v>55.000000000000007</v>
      </c>
      <c r="N31" s="34">
        <v>18</v>
      </c>
      <c r="O31" s="12">
        <f t="shared" si="4"/>
        <v>45</v>
      </c>
      <c r="P31" s="12">
        <f t="shared" si="5"/>
        <v>362.5</v>
      </c>
      <c r="Q31" s="17">
        <f t="shared" si="6"/>
        <v>60.416666666666664</v>
      </c>
      <c r="R31" s="22"/>
    </row>
    <row r="32" spans="1:18" ht="18">
      <c r="A32" s="86">
        <v>25</v>
      </c>
      <c r="B32" s="157" t="s">
        <v>409</v>
      </c>
      <c r="C32" s="41">
        <v>26</v>
      </c>
      <c r="D32" s="41"/>
      <c r="E32" s="12">
        <f t="shared" si="7"/>
        <v>65</v>
      </c>
      <c r="F32" s="60">
        <v>16</v>
      </c>
      <c r="G32" s="12">
        <f t="shared" si="0"/>
        <v>40</v>
      </c>
      <c r="H32" s="88">
        <v>16</v>
      </c>
      <c r="I32" s="12">
        <f t="shared" si="1"/>
        <v>40</v>
      </c>
      <c r="J32" s="72"/>
      <c r="K32" s="12" t="str">
        <f t="shared" si="2"/>
        <v/>
      </c>
      <c r="L32" s="62">
        <v>14</v>
      </c>
      <c r="M32" s="12">
        <f t="shared" si="3"/>
        <v>35</v>
      </c>
      <c r="N32" s="34">
        <v>14</v>
      </c>
      <c r="O32" s="12">
        <f t="shared" si="4"/>
        <v>35</v>
      </c>
      <c r="P32" s="12">
        <f t="shared" si="5"/>
        <v>215</v>
      </c>
      <c r="Q32" s="17">
        <f t="shared" si="6"/>
        <v>35.833333333333336</v>
      </c>
      <c r="R32" s="22"/>
    </row>
    <row r="33" spans="1:18" ht="18">
      <c r="A33" s="86">
        <v>26</v>
      </c>
      <c r="B33" s="155" t="s">
        <v>410</v>
      </c>
      <c r="C33" s="41">
        <v>31</v>
      </c>
      <c r="D33" s="41"/>
      <c r="E33" s="12">
        <f t="shared" si="7"/>
        <v>77.5</v>
      </c>
      <c r="F33" s="60">
        <v>23</v>
      </c>
      <c r="G33" s="12">
        <f t="shared" si="0"/>
        <v>57.499999999999993</v>
      </c>
      <c r="H33" s="41">
        <v>27</v>
      </c>
      <c r="I33" s="12">
        <f t="shared" si="1"/>
        <v>67.5</v>
      </c>
      <c r="J33" s="72">
        <v>24</v>
      </c>
      <c r="K33" s="12">
        <f t="shared" si="2"/>
        <v>60</v>
      </c>
      <c r="L33" s="66">
        <v>28</v>
      </c>
      <c r="M33" s="12">
        <f t="shared" si="3"/>
        <v>70</v>
      </c>
      <c r="N33" s="34">
        <v>23</v>
      </c>
      <c r="O33" s="12">
        <f t="shared" si="4"/>
        <v>57.499999999999993</v>
      </c>
      <c r="P33" s="12">
        <f t="shared" si="5"/>
        <v>390</v>
      </c>
      <c r="Q33" s="17">
        <f t="shared" si="6"/>
        <v>65</v>
      </c>
      <c r="R33" s="22"/>
    </row>
    <row r="34" spans="1:18" ht="18">
      <c r="A34" s="86">
        <v>27</v>
      </c>
      <c r="B34" s="157" t="s">
        <v>411</v>
      </c>
      <c r="C34" s="41">
        <v>36</v>
      </c>
      <c r="D34" s="41"/>
      <c r="E34" s="12">
        <f t="shared" si="7"/>
        <v>90</v>
      </c>
      <c r="F34" s="60">
        <v>39</v>
      </c>
      <c r="G34" s="12">
        <f t="shared" si="0"/>
        <v>97.5</v>
      </c>
      <c r="H34" s="41">
        <v>39</v>
      </c>
      <c r="I34" s="12">
        <f t="shared" si="1"/>
        <v>97.5</v>
      </c>
      <c r="J34" s="72">
        <v>28</v>
      </c>
      <c r="K34" s="12">
        <f t="shared" si="2"/>
        <v>70</v>
      </c>
      <c r="L34" s="62">
        <v>39</v>
      </c>
      <c r="M34" s="12">
        <f t="shared" si="3"/>
        <v>97.5</v>
      </c>
      <c r="N34" s="34">
        <v>39</v>
      </c>
      <c r="O34" s="12">
        <f t="shared" si="4"/>
        <v>97.5</v>
      </c>
      <c r="P34" s="12">
        <f t="shared" si="5"/>
        <v>550</v>
      </c>
      <c r="Q34" s="17">
        <f t="shared" si="6"/>
        <v>91.666666666666657</v>
      </c>
      <c r="R34" s="22"/>
    </row>
    <row r="35" spans="1:18" ht="18">
      <c r="A35" s="86">
        <v>28</v>
      </c>
      <c r="B35" s="157" t="s">
        <v>412</v>
      </c>
      <c r="C35" s="46">
        <v>25</v>
      </c>
      <c r="D35" s="41"/>
      <c r="E35" s="12">
        <f t="shared" si="7"/>
        <v>62.5</v>
      </c>
      <c r="F35" s="60">
        <v>22</v>
      </c>
      <c r="G35" s="12">
        <f t="shared" si="0"/>
        <v>55.000000000000007</v>
      </c>
      <c r="H35" s="41">
        <v>17</v>
      </c>
      <c r="I35" s="12">
        <f t="shared" si="1"/>
        <v>42.5</v>
      </c>
      <c r="J35" s="72">
        <v>15</v>
      </c>
      <c r="K35" s="12">
        <f t="shared" si="2"/>
        <v>37.5</v>
      </c>
      <c r="L35" s="66">
        <v>20</v>
      </c>
      <c r="M35" s="12">
        <f t="shared" si="3"/>
        <v>50</v>
      </c>
      <c r="N35" s="34">
        <v>22</v>
      </c>
      <c r="O35" s="12">
        <f t="shared" si="4"/>
        <v>55.000000000000007</v>
      </c>
      <c r="P35" s="12">
        <f t="shared" si="5"/>
        <v>302.5</v>
      </c>
      <c r="Q35" s="17">
        <f t="shared" si="6"/>
        <v>50.416666666666664</v>
      </c>
      <c r="R35" s="22"/>
    </row>
    <row r="36" spans="1:18" ht="18">
      <c r="A36" s="86">
        <v>29</v>
      </c>
      <c r="B36" s="157" t="s">
        <v>413</v>
      </c>
      <c r="C36" s="46">
        <v>30</v>
      </c>
      <c r="D36" s="41"/>
      <c r="E36" s="12">
        <f t="shared" si="7"/>
        <v>75</v>
      </c>
      <c r="F36" s="60">
        <v>23</v>
      </c>
      <c r="G36" s="12">
        <f t="shared" si="0"/>
        <v>57.499999999999993</v>
      </c>
      <c r="H36" s="41">
        <v>28</v>
      </c>
      <c r="I36" s="12">
        <f t="shared" si="1"/>
        <v>70</v>
      </c>
      <c r="J36" s="72">
        <v>23</v>
      </c>
      <c r="K36" s="12">
        <f t="shared" si="2"/>
        <v>57.499999999999993</v>
      </c>
      <c r="L36" s="66">
        <v>29</v>
      </c>
      <c r="M36" s="12">
        <f t="shared" si="3"/>
        <v>72.5</v>
      </c>
      <c r="N36" s="34">
        <v>33</v>
      </c>
      <c r="O36" s="12">
        <f t="shared" si="4"/>
        <v>82.5</v>
      </c>
      <c r="P36" s="12">
        <f t="shared" si="5"/>
        <v>415</v>
      </c>
      <c r="Q36" s="17">
        <f t="shared" si="6"/>
        <v>69.166666666666671</v>
      </c>
      <c r="R36" s="22"/>
    </row>
    <row r="37" spans="1:18" ht="18">
      <c r="A37" s="86">
        <v>30</v>
      </c>
      <c r="B37" s="157" t="s">
        <v>414</v>
      </c>
      <c r="C37" s="41">
        <v>21</v>
      </c>
      <c r="D37" s="41"/>
      <c r="E37" s="12">
        <f t="shared" si="7"/>
        <v>52.5</v>
      </c>
      <c r="F37" s="60" t="s">
        <v>123</v>
      </c>
      <c r="G37" s="12" t="e">
        <f t="shared" si="0"/>
        <v>#NAME?</v>
      </c>
      <c r="H37" s="41">
        <v>23</v>
      </c>
      <c r="I37" s="12">
        <f t="shared" si="1"/>
        <v>57.499999999999993</v>
      </c>
      <c r="J37" s="72">
        <v>19</v>
      </c>
      <c r="K37" s="12">
        <f t="shared" si="2"/>
        <v>47.5</v>
      </c>
      <c r="L37" s="66">
        <v>27</v>
      </c>
      <c r="M37" s="12">
        <f t="shared" si="3"/>
        <v>67.5</v>
      </c>
      <c r="N37" s="152">
        <v>27</v>
      </c>
      <c r="O37" s="12">
        <f t="shared" si="4"/>
        <v>67.5</v>
      </c>
      <c r="P37" s="12" t="e">
        <f t="shared" si="5"/>
        <v>#NAME?</v>
      </c>
      <c r="Q37" s="17" t="e">
        <f t="shared" si="6"/>
        <v>#NAME?</v>
      </c>
      <c r="R37" s="22"/>
    </row>
    <row r="38" spans="1:18" ht="18">
      <c r="A38" s="86">
        <v>31</v>
      </c>
      <c r="B38" s="157" t="s">
        <v>415</v>
      </c>
      <c r="C38" s="41">
        <v>27</v>
      </c>
      <c r="D38" s="41"/>
      <c r="E38" s="12">
        <f t="shared" si="7"/>
        <v>67.5</v>
      </c>
      <c r="F38" s="60">
        <v>12</v>
      </c>
      <c r="G38" s="12">
        <f t="shared" si="0"/>
        <v>30</v>
      </c>
      <c r="H38" s="41">
        <v>14</v>
      </c>
      <c r="I38" s="70">
        <f t="shared" si="1"/>
        <v>35</v>
      </c>
      <c r="J38" s="72">
        <v>13</v>
      </c>
      <c r="K38" s="12">
        <f t="shared" si="2"/>
        <v>32.5</v>
      </c>
      <c r="L38" s="158">
        <v>16</v>
      </c>
      <c r="M38" s="12">
        <f t="shared" si="3"/>
        <v>40</v>
      </c>
      <c r="N38" s="34">
        <v>17</v>
      </c>
      <c r="O38" s="12">
        <f t="shared" si="4"/>
        <v>42.5</v>
      </c>
      <c r="P38" s="12">
        <f t="shared" si="5"/>
        <v>247.5</v>
      </c>
      <c r="Q38" s="17">
        <f t="shared" si="6"/>
        <v>41.25</v>
      </c>
      <c r="R38" s="22"/>
    </row>
    <row r="39" spans="1:18" ht="18">
      <c r="A39" s="86">
        <v>32</v>
      </c>
      <c r="B39" s="157" t="s">
        <v>416</v>
      </c>
      <c r="C39" s="41">
        <v>33</v>
      </c>
      <c r="D39" s="41"/>
      <c r="E39" s="12">
        <f t="shared" si="7"/>
        <v>82.5</v>
      </c>
      <c r="F39" s="60">
        <v>32</v>
      </c>
      <c r="G39" s="12">
        <f t="shared" si="0"/>
        <v>80</v>
      </c>
      <c r="H39" s="41">
        <v>35</v>
      </c>
      <c r="I39" s="12">
        <f t="shared" si="1"/>
        <v>87.5</v>
      </c>
      <c r="J39" s="72">
        <v>22</v>
      </c>
      <c r="K39" s="12">
        <f t="shared" si="2"/>
        <v>55.000000000000007</v>
      </c>
      <c r="L39" s="66">
        <v>34</v>
      </c>
      <c r="M39" s="12">
        <f t="shared" si="3"/>
        <v>85</v>
      </c>
      <c r="N39" s="34">
        <v>34</v>
      </c>
      <c r="O39" s="12">
        <f t="shared" si="4"/>
        <v>85</v>
      </c>
      <c r="P39" s="12">
        <f t="shared" si="5"/>
        <v>475</v>
      </c>
      <c r="Q39" s="17">
        <f t="shared" si="6"/>
        <v>79.166666666666657</v>
      </c>
      <c r="R39" s="22"/>
    </row>
    <row r="40" spans="1:18" ht="18">
      <c r="A40" s="86">
        <v>33</v>
      </c>
      <c r="B40" s="157" t="s">
        <v>417</v>
      </c>
      <c r="C40" s="41">
        <v>14</v>
      </c>
      <c r="D40" s="41"/>
      <c r="E40" s="70">
        <f t="shared" si="7"/>
        <v>35</v>
      </c>
      <c r="F40" s="60">
        <v>9</v>
      </c>
      <c r="G40" s="70">
        <f t="shared" si="0"/>
        <v>22.5</v>
      </c>
      <c r="H40" s="41">
        <v>15</v>
      </c>
      <c r="I40" s="70">
        <f t="shared" si="1"/>
        <v>37.5</v>
      </c>
      <c r="J40" s="72">
        <v>14</v>
      </c>
      <c r="K40" s="70">
        <f t="shared" si="2"/>
        <v>35</v>
      </c>
      <c r="L40" s="66">
        <v>4</v>
      </c>
      <c r="M40" s="70">
        <f t="shared" si="3"/>
        <v>10</v>
      </c>
      <c r="N40" s="34">
        <v>8</v>
      </c>
      <c r="O40" s="70">
        <f t="shared" si="4"/>
        <v>20</v>
      </c>
      <c r="P40" s="12">
        <f t="shared" si="5"/>
        <v>160</v>
      </c>
      <c r="Q40" s="17">
        <f t="shared" si="6"/>
        <v>26.666666666666668</v>
      </c>
      <c r="R40" s="22"/>
    </row>
    <row r="41" spans="1:18" ht="18">
      <c r="A41" s="86">
        <v>34</v>
      </c>
      <c r="B41" s="157" t="s">
        <v>418</v>
      </c>
      <c r="C41" s="41">
        <v>35</v>
      </c>
      <c r="D41" s="41"/>
      <c r="E41" s="12">
        <f t="shared" si="7"/>
        <v>87.5</v>
      </c>
      <c r="F41" s="60">
        <v>28</v>
      </c>
      <c r="G41" s="12">
        <f t="shared" si="0"/>
        <v>70</v>
      </c>
      <c r="H41" s="41">
        <v>39</v>
      </c>
      <c r="I41" s="12">
        <f t="shared" si="1"/>
        <v>97.5</v>
      </c>
      <c r="J41" s="72">
        <v>35</v>
      </c>
      <c r="K41" s="12">
        <f t="shared" si="2"/>
        <v>87.5</v>
      </c>
      <c r="L41" s="66">
        <v>31</v>
      </c>
      <c r="M41" s="12">
        <f t="shared" si="3"/>
        <v>77.5</v>
      </c>
      <c r="N41" s="34">
        <v>38</v>
      </c>
      <c r="O41" s="12">
        <f t="shared" si="4"/>
        <v>95</v>
      </c>
      <c r="P41" s="12">
        <f t="shared" si="5"/>
        <v>515</v>
      </c>
      <c r="Q41" s="17">
        <f t="shared" si="6"/>
        <v>85.833333333333329</v>
      </c>
      <c r="R41" s="22"/>
    </row>
    <row r="42" spans="1:18" ht="18">
      <c r="A42" s="86">
        <v>35</v>
      </c>
      <c r="B42" s="157" t="s">
        <v>419</v>
      </c>
      <c r="C42" s="41">
        <v>33</v>
      </c>
      <c r="D42" s="41"/>
      <c r="E42" s="12">
        <f t="shared" si="7"/>
        <v>82.5</v>
      </c>
      <c r="F42" s="60">
        <v>22</v>
      </c>
      <c r="G42" s="12">
        <f t="shared" si="0"/>
        <v>55.000000000000007</v>
      </c>
      <c r="H42" s="41">
        <v>34</v>
      </c>
      <c r="I42" s="70">
        <f t="shared" si="1"/>
        <v>85</v>
      </c>
      <c r="J42" s="72">
        <v>16</v>
      </c>
      <c r="K42" s="12">
        <f t="shared" si="2"/>
        <v>40</v>
      </c>
      <c r="L42" s="66">
        <v>18</v>
      </c>
      <c r="M42" s="12">
        <f t="shared" si="3"/>
        <v>45</v>
      </c>
      <c r="N42" s="34">
        <v>26</v>
      </c>
      <c r="O42" s="12">
        <f t="shared" si="4"/>
        <v>65</v>
      </c>
      <c r="P42" s="12">
        <f t="shared" si="5"/>
        <v>372.5</v>
      </c>
      <c r="Q42" s="17">
        <f t="shared" si="6"/>
        <v>62.083333333333336</v>
      </c>
      <c r="R42" s="22"/>
    </row>
    <row r="43" spans="1:18" ht="18">
      <c r="A43" s="86">
        <v>36</v>
      </c>
      <c r="B43" s="157" t="s">
        <v>420</v>
      </c>
      <c r="C43" s="13">
        <v>36</v>
      </c>
      <c r="D43" s="13"/>
      <c r="E43" s="12">
        <f t="shared" si="7"/>
        <v>90</v>
      </c>
      <c r="F43" s="60">
        <v>26</v>
      </c>
      <c r="G43" s="12">
        <f t="shared" si="0"/>
        <v>65</v>
      </c>
      <c r="H43" s="41">
        <v>29</v>
      </c>
      <c r="I43" s="12">
        <f t="shared" si="1"/>
        <v>72.5</v>
      </c>
      <c r="J43" s="72">
        <v>29</v>
      </c>
      <c r="K43" s="12">
        <f t="shared" si="2"/>
        <v>72.5</v>
      </c>
      <c r="L43" s="66">
        <v>30</v>
      </c>
      <c r="M43" s="12">
        <f t="shared" si="3"/>
        <v>75</v>
      </c>
      <c r="N43" s="34">
        <v>37</v>
      </c>
      <c r="O43" s="12">
        <f t="shared" si="4"/>
        <v>92.5</v>
      </c>
      <c r="P43" s="12">
        <f t="shared" si="5"/>
        <v>467.5</v>
      </c>
      <c r="Q43" s="17">
        <f t="shared" si="6"/>
        <v>77.916666666666671</v>
      </c>
      <c r="R43" s="22"/>
    </row>
    <row r="44" spans="1:18" ht="18">
      <c r="A44" s="86">
        <v>37</v>
      </c>
      <c r="B44" s="157" t="s">
        <v>421</v>
      </c>
      <c r="C44" s="41">
        <v>27</v>
      </c>
      <c r="D44" s="41"/>
      <c r="E44" s="12">
        <f t="shared" si="7"/>
        <v>67.5</v>
      </c>
      <c r="F44" s="60">
        <v>25</v>
      </c>
      <c r="G44" s="12">
        <f t="shared" si="0"/>
        <v>62.5</v>
      </c>
      <c r="H44" s="41">
        <v>29</v>
      </c>
      <c r="I44" s="12">
        <f t="shared" si="1"/>
        <v>72.5</v>
      </c>
      <c r="J44" s="72">
        <v>29</v>
      </c>
      <c r="K44" s="12">
        <f t="shared" si="2"/>
        <v>72.5</v>
      </c>
      <c r="L44" s="66">
        <v>29</v>
      </c>
      <c r="M44" s="12">
        <f t="shared" si="3"/>
        <v>72.5</v>
      </c>
      <c r="N44" s="34">
        <v>33</v>
      </c>
      <c r="O44" s="12">
        <f t="shared" si="4"/>
        <v>82.5</v>
      </c>
      <c r="P44" s="12">
        <f t="shared" si="5"/>
        <v>430</v>
      </c>
      <c r="Q44" s="17">
        <f t="shared" si="6"/>
        <v>71.666666666666671</v>
      </c>
      <c r="R44" s="22"/>
    </row>
    <row r="45" spans="1:18" ht="18">
      <c r="A45" s="86">
        <v>38</v>
      </c>
      <c r="B45" s="157" t="s">
        <v>422</v>
      </c>
      <c r="C45" s="41">
        <v>28</v>
      </c>
      <c r="D45" s="41"/>
      <c r="E45" s="12">
        <f t="shared" si="7"/>
        <v>70</v>
      </c>
      <c r="F45" s="60">
        <v>33</v>
      </c>
      <c r="G45" s="12">
        <f t="shared" si="0"/>
        <v>82.5</v>
      </c>
      <c r="H45" s="41">
        <v>20</v>
      </c>
      <c r="I45" s="12">
        <f t="shared" si="1"/>
        <v>50</v>
      </c>
      <c r="J45" s="72">
        <v>22</v>
      </c>
      <c r="K45" s="12">
        <f t="shared" si="2"/>
        <v>55.000000000000007</v>
      </c>
      <c r="L45" s="66">
        <v>21</v>
      </c>
      <c r="M45" s="12">
        <f t="shared" si="3"/>
        <v>52.5</v>
      </c>
      <c r="N45" s="34">
        <v>21</v>
      </c>
      <c r="O45" s="12">
        <f t="shared" si="4"/>
        <v>52.5</v>
      </c>
      <c r="P45" s="12">
        <f t="shared" si="5"/>
        <v>362.5</v>
      </c>
      <c r="Q45" s="17">
        <f t="shared" si="6"/>
        <v>60.416666666666664</v>
      </c>
      <c r="R45" s="22"/>
    </row>
    <row r="46" spans="1:18" ht="18">
      <c r="A46" s="86">
        <v>39</v>
      </c>
      <c r="B46" s="157" t="s">
        <v>423</v>
      </c>
      <c r="C46" s="41">
        <v>21</v>
      </c>
      <c r="D46" s="41"/>
      <c r="E46" s="12">
        <f t="shared" si="7"/>
        <v>52.5</v>
      </c>
      <c r="F46" s="60">
        <v>24</v>
      </c>
      <c r="G46" s="12">
        <f t="shared" si="0"/>
        <v>60</v>
      </c>
      <c r="H46" s="41">
        <v>26</v>
      </c>
      <c r="I46" s="12">
        <f t="shared" si="1"/>
        <v>65</v>
      </c>
      <c r="J46" s="72">
        <v>14</v>
      </c>
      <c r="K46" s="12">
        <f t="shared" si="2"/>
        <v>35</v>
      </c>
      <c r="L46" s="66">
        <v>21</v>
      </c>
      <c r="M46" s="12">
        <f t="shared" si="3"/>
        <v>52.5</v>
      </c>
      <c r="N46" s="34">
        <v>13</v>
      </c>
      <c r="O46" s="12">
        <f t="shared" si="4"/>
        <v>32.5</v>
      </c>
      <c r="P46" s="12">
        <f t="shared" si="5"/>
        <v>297.5</v>
      </c>
      <c r="Q46" s="17">
        <f t="shared" si="6"/>
        <v>49.583333333333336</v>
      </c>
      <c r="R46" s="22"/>
    </row>
    <row r="47" spans="1:18" ht="18">
      <c r="A47" s="86">
        <v>40</v>
      </c>
      <c r="B47" s="157" t="s">
        <v>424</v>
      </c>
      <c r="C47" s="41">
        <v>30</v>
      </c>
      <c r="D47" s="41"/>
      <c r="E47" s="12">
        <f t="shared" si="7"/>
        <v>75</v>
      </c>
      <c r="F47" s="60">
        <v>20</v>
      </c>
      <c r="G47" s="12">
        <f t="shared" si="0"/>
        <v>50</v>
      </c>
      <c r="H47" s="41">
        <v>25</v>
      </c>
      <c r="I47" s="12">
        <f t="shared" si="1"/>
        <v>62.5</v>
      </c>
      <c r="J47" s="72">
        <v>19</v>
      </c>
      <c r="K47" s="12">
        <f t="shared" si="2"/>
        <v>47.5</v>
      </c>
      <c r="L47" s="66">
        <v>28</v>
      </c>
      <c r="M47" s="12">
        <f t="shared" si="3"/>
        <v>70</v>
      </c>
      <c r="N47" s="34">
        <v>19</v>
      </c>
      <c r="O47" s="12">
        <f t="shared" si="4"/>
        <v>47.5</v>
      </c>
      <c r="P47" s="12">
        <f t="shared" si="5"/>
        <v>352.5</v>
      </c>
      <c r="Q47" s="17">
        <f t="shared" si="6"/>
        <v>58.75</v>
      </c>
      <c r="R47" s="22"/>
    </row>
    <row r="48" spans="1:18" ht="18">
      <c r="A48" s="86">
        <v>41</v>
      </c>
      <c r="B48" s="157" t="s">
        <v>425</v>
      </c>
      <c r="C48" s="41">
        <v>30</v>
      </c>
      <c r="D48" s="41"/>
      <c r="E48" s="12">
        <f t="shared" si="7"/>
        <v>75</v>
      </c>
      <c r="F48" s="60">
        <v>34</v>
      </c>
      <c r="G48" s="12">
        <f t="shared" si="0"/>
        <v>85</v>
      </c>
      <c r="H48" s="41">
        <v>21</v>
      </c>
      <c r="I48" s="12">
        <f t="shared" si="1"/>
        <v>52.5</v>
      </c>
      <c r="J48" s="72">
        <v>34</v>
      </c>
      <c r="K48" s="12">
        <f t="shared" si="2"/>
        <v>85</v>
      </c>
      <c r="L48" s="66">
        <v>28</v>
      </c>
      <c r="M48" s="12">
        <f t="shared" si="3"/>
        <v>70</v>
      </c>
      <c r="N48" s="34">
        <v>30</v>
      </c>
      <c r="O48" s="12">
        <f t="shared" si="4"/>
        <v>75</v>
      </c>
      <c r="P48" s="12">
        <f t="shared" si="5"/>
        <v>442.5</v>
      </c>
      <c r="Q48" s="17">
        <f t="shared" si="6"/>
        <v>73.75</v>
      </c>
      <c r="R48" s="22"/>
    </row>
    <row r="49" spans="1:18" ht="14.4">
      <c r="A49" s="1"/>
      <c r="B49" s="1"/>
      <c r="C49" s="22"/>
      <c r="D49" s="22"/>
      <c r="E49" s="37" t="str">
        <f t="shared" si="7"/>
        <v/>
      </c>
      <c r="F49" s="18"/>
      <c r="G49" s="37" t="str">
        <f t="shared" si="0"/>
        <v/>
      </c>
      <c r="H49" s="22"/>
      <c r="I49" s="38"/>
      <c r="J49" s="22"/>
      <c r="K49" s="40"/>
      <c r="L49" s="18"/>
      <c r="M49" s="37" t="str">
        <f t="shared" si="3"/>
        <v/>
      </c>
      <c r="N49" s="37"/>
      <c r="O49" s="37"/>
      <c r="P49" s="37"/>
      <c r="Q49" s="39"/>
      <c r="R49" s="22"/>
    </row>
    <row r="50" spans="1:18" ht="14.4">
      <c r="A50" s="1"/>
      <c r="B50" s="1"/>
      <c r="C50" s="22"/>
      <c r="D50" s="22"/>
      <c r="E50" s="37" t="str">
        <f t="shared" si="7"/>
        <v/>
      </c>
      <c r="F50" s="18"/>
      <c r="G50" s="37" t="str">
        <f t="shared" si="0"/>
        <v/>
      </c>
      <c r="H50" s="22"/>
      <c r="I50" s="38" t="str">
        <f>IF(H50="","",IF(H50="AB",AB,IF(H50="TC","TC",(H50/I$6)*100)))</f>
        <v/>
      </c>
      <c r="J50" s="22"/>
      <c r="K50" s="40" t="str">
        <f>IF(J50="","",IF(J50="AB",AB,IF(J50="TC","TC",(J50/K$6)*100)))</f>
        <v/>
      </c>
      <c r="L50" s="18"/>
      <c r="M50" s="40" t="str">
        <f t="shared" si="3"/>
        <v/>
      </c>
      <c r="N50" s="37"/>
      <c r="O50" s="37" t="str">
        <f>IF(N50="","",IF(N50="AB",AB,IF(N50="TC","TC",(N50/O$6)*100)))</f>
        <v/>
      </c>
      <c r="P50" s="37"/>
      <c r="Q50" s="39"/>
      <c r="R50" s="22" t="str">
        <f>IF(Q50=0,"",IF(U50="FAIL","FAIL","PASS"))</f>
        <v/>
      </c>
    </row>
    <row r="51" spans="1:18" ht="14.4">
      <c r="A51" s="1"/>
      <c r="B51" s="1"/>
      <c r="C51" s="22"/>
      <c r="D51" s="22"/>
      <c r="E51" s="37"/>
      <c r="F51" s="18"/>
      <c r="G51" s="37"/>
      <c r="H51" s="22"/>
      <c r="I51" s="38"/>
      <c r="J51" s="22"/>
      <c r="K51" s="40"/>
      <c r="L51" s="18"/>
      <c r="M51" s="40"/>
      <c r="N51" s="37"/>
      <c r="O51" s="37"/>
      <c r="P51" s="37"/>
      <c r="Q51" s="39"/>
      <c r="R51" s="22"/>
    </row>
    <row r="52" spans="1:18" ht="14.4">
      <c r="A52" s="1"/>
      <c r="B52" s="1"/>
      <c r="C52" s="22"/>
      <c r="D52" s="22"/>
      <c r="E52" s="37" t="str">
        <f t="shared" ref="E52:E53" si="8">IF(C52="","",IF(C52="AB",AB,IF(C52="TC","TC",(C52/E$6)*100)))</f>
        <v/>
      </c>
      <c r="F52" s="22"/>
      <c r="G52" s="37" t="str">
        <f t="shared" ref="G52:G53" si="9">IF(F52="","",IF(F52="AB",AB,IF(F52="TC","TC",(F52/G$6)*100)))</f>
        <v/>
      </c>
      <c r="H52" s="22"/>
      <c r="I52" s="38" t="str">
        <f t="shared" ref="I52:I53" si="10">IF(H52="","",IF(H52="AB",AB,IF(H52="TC","TC",(H52/I$6)*100)))</f>
        <v/>
      </c>
      <c r="J52" s="22"/>
      <c r="K52" s="40" t="str">
        <f t="shared" ref="K52:K53" si="11">IF(J52="","",IF(J52="AB",AB,IF(J52="TC","TC",(J52/K$6)*100)))</f>
        <v/>
      </c>
      <c r="L52" s="22"/>
      <c r="M52" s="37" t="str">
        <f t="shared" ref="M52:M53" si="12">IF(L52="","",IF(L52="AB",AB,IF(L52="TC","TC",(L52/M$6)*100)))</f>
        <v/>
      </c>
      <c r="N52" s="37"/>
      <c r="O52" s="37" t="str">
        <f t="shared" ref="O52:O53" si="13">IF(N52="","",IF(N52="AB",AB,IF(N52="TC","TC",(N52/O$6)*100)))</f>
        <v/>
      </c>
      <c r="P52" s="37"/>
      <c r="Q52" s="39"/>
      <c r="R52" s="22" t="str">
        <f>IF(Q52=0,"",IF(U52="FAIL","FAIL","PASS"))</f>
        <v/>
      </c>
    </row>
    <row r="53" spans="1:18" ht="18">
      <c r="A53" s="1"/>
      <c r="B53" s="1"/>
      <c r="C53" s="42">
        <f>IF(C56=0,"",SUM(C8:C52)/C56)</f>
        <v>29.073170731707318</v>
      </c>
      <c r="D53" s="42"/>
      <c r="E53" s="12">
        <f t="shared" si="8"/>
        <v>72.682926829268297</v>
      </c>
      <c r="F53" s="42">
        <f>IF(F56=0,"",SUM(F8:F52)/F56)</f>
        <v>26.9</v>
      </c>
      <c r="G53" s="42">
        <f t="shared" si="9"/>
        <v>67.25</v>
      </c>
      <c r="H53" s="42">
        <f>IF(H56=0,"",SUM(H8:H52)/H56)</f>
        <v>26.902439024390244</v>
      </c>
      <c r="I53" s="42">
        <f t="shared" si="10"/>
        <v>67.256097560975618</v>
      </c>
      <c r="J53" s="42">
        <f>IF(J56=0,"",SUM(J8:J52)/J56)</f>
        <v>23.925000000000001</v>
      </c>
      <c r="K53" s="42">
        <f t="shared" si="11"/>
        <v>59.8125</v>
      </c>
      <c r="L53" s="39"/>
      <c r="M53" s="39" t="str">
        <f t="shared" si="12"/>
        <v/>
      </c>
      <c r="N53" s="42">
        <f>IF(N56=0,"",SUM(N8:N52)/N56)</f>
        <v>27.658536585365855</v>
      </c>
      <c r="O53" s="42">
        <f t="shared" si="13"/>
        <v>69.146341463414643</v>
      </c>
      <c r="P53" s="42" t="e">
        <f>IF(P56=0,"",SUM(P8:P52)/P56)</f>
        <v>#NAME?</v>
      </c>
      <c r="Q53" s="42" t="e">
        <f>IF(P56=0,"",SUM(Q8:Q52)/P56)</f>
        <v>#NAME?</v>
      </c>
      <c r="R53" s="39"/>
    </row>
    <row r="54" spans="1:18" ht="34.799999999999997">
      <c r="A54" s="387" t="s">
        <v>71</v>
      </c>
      <c r="B54" s="107" t="s">
        <v>72</v>
      </c>
      <c r="C54" s="359">
        <f>COUNTA(C8:C52)</f>
        <v>41</v>
      </c>
      <c r="D54" s="378"/>
      <c r="E54" s="360"/>
      <c r="F54" s="359">
        <f>COUNTA(F8:F52)</f>
        <v>41</v>
      </c>
      <c r="G54" s="360"/>
      <c r="H54" s="359">
        <f>COUNTA(H8:H52)</f>
        <v>41</v>
      </c>
      <c r="I54" s="360"/>
      <c r="J54" s="359">
        <f>COUNTA(J8:J52)</f>
        <v>40</v>
      </c>
      <c r="K54" s="360"/>
      <c r="L54" s="359">
        <f>COUNTA(L8:L52)</f>
        <v>41</v>
      </c>
      <c r="M54" s="360"/>
      <c r="N54" s="359">
        <f>COUNTA(N8:N52)</f>
        <v>41</v>
      </c>
      <c r="O54" s="360"/>
      <c r="P54" s="359" t="s">
        <v>15</v>
      </c>
      <c r="Q54" s="378"/>
      <c r="R54" s="360"/>
    </row>
    <row r="55" spans="1:18" ht="17.399999999999999">
      <c r="A55" s="381"/>
      <c r="B55" s="45" t="s">
        <v>73</v>
      </c>
      <c r="C55" s="361">
        <f>C54-C56</f>
        <v>0</v>
      </c>
      <c r="D55" s="364"/>
      <c r="E55" s="362"/>
      <c r="F55" s="361">
        <f>F54-F56</f>
        <v>1</v>
      </c>
      <c r="G55" s="362"/>
      <c r="H55" s="361">
        <f>H54-H56</f>
        <v>0</v>
      </c>
      <c r="I55" s="362"/>
      <c r="J55" s="361">
        <f>J54-J56</f>
        <v>0</v>
      </c>
      <c r="K55" s="362"/>
      <c r="L55" s="361">
        <f>L54-L56</f>
        <v>0</v>
      </c>
      <c r="M55" s="362"/>
      <c r="N55" s="361">
        <f>N54-N56</f>
        <v>0</v>
      </c>
      <c r="O55" s="362"/>
      <c r="P55" s="361">
        <f>COUNTIF(S8:S52,0)</f>
        <v>0</v>
      </c>
      <c r="Q55" s="364"/>
      <c r="R55" s="362"/>
    </row>
    <row r="56" spans="1:18" ht="17.399999999999999">
      <c r="A56" s="381"/>
      <c r="B56" s="46" t="s">
        <v>74</v>
      </c>
      <c r="C56" s="361">
        <f>COUNTIFS(E8:E52,"&gt;0")</f>
        <v>41</v>
      </c>
      <c r="D56" s="364"/>
      <c r="E56" s="362"/>
      <c r="F56" s="361">
        <f>COUNTIFS(G8:G52,"&gt;0")</f>
        <v>40</v>
      </c>
      <c r="G56" s="362"/>
      <c r="H56" s="361">
        <f>COUNTIFS(I8:I52,"&gt;0")</f>
        <v>41</v>
      </c>
      <c r="I56" s="362"/>
      <c r="J56" s="361">
        <f>COUNTIFS(K8:K52,"&gt;0")</f>
        <v>40</v>
      </c>
      <c r="K56" s="362"/>
      <c r="L56" s="361">
        <f>COUNTIFS(M8:M52,"&gt;0")</f>
        <v>41</v>
      </c>
      <c r="M56" s="362"/>
      <c r="N56" s="361">
        <f>COUNTIFS(O8:O52,"&gt;0")</f>
        <v>41</v>
      </c>
      <c r="O56" s="362"/>
      <c r="P56" s="361">
        <f>COUNTIFS(Q8:Q52,"&gt;0")</f>
        <v>40</v>
      </c>
      <c r="Q56" s="364"/>
      <c r="R56" s="362"/>
    </row>
    <row r="57" spans="1:18" ht="17.399999999999999">
      <c r="A57" s="381"/>
      <c r="B57" s="46" t="s">
        <v>75</v>
      </c>
      <c r="C57" s="361">
        <f>C56-C59</f>
        <v>41</v>
      </c>
      <c r="D57" s="364"/>
      <c r="E57" s="362"/>
      <c r="F57" s="361">
        <f>F56-F59</f>
        <v>37</v>
      </c>
      <c r="G57" s="362"/>
      <c r="H57" s="361">
        <f>H56-H59</f>
        <v>41</v>
      </c>
      <c r="I57" s="362"/>
      <c r="J57" s="361">
        <f>J56-J59</f>
        <v>38</v>
      </c>
      <c r="K57" s="362"/>
      <c r="L57" s="361">
        <f>L56-L59</f>
        <v>40</v>
      </c>
      <c r="M57" s="362"/>
      <c r="N57" s="361">
        <f>N56-N59</f>
        <v>40</v>
      </c>
      <c r="O57" s="362"/>
      <c r="P57" s="361">
        <f>COUNTIF(R8:R52,"PASS")</f>
        <v>0</v>
      </c>
      <c r="Q57" s="364"/>
      <c r="R57" s="362"/>
    </row>
    <row r="58" spans="1:18" ht="17.399999999999999">
      <c r="A58" s="381"/>
      <c r="B58" s="46" t="s">
        <v>76</v>
      </c>
      <c r="C58" s="363">
        <f>IF(C56=0,"",(C57/C56)*100)</f>
        <v>100</v>
      </c>
      <c r="D58" s="364"/>
      <c r="E58" s="362"/>
      <c r="F58" s="363">
        <f>IF(F56=0,"",(F57/F56)*100)</f>
        <v>92.5</v>
      </c>
      <c r="G58" s="362"/>
      <c r="H58" s="363">
        <f>IF(H56=0,"",(H57/H56)*100)</f>
        <v>100</v>
      </c>
      <c r="I58" s="362"/>
      <c r="J58" s="363">
        <f>IF(J56=0,"",(J57/J56)*100)</f>
        <v>95</v>
      </c>
      <c r="K58" s="362"/>
      <c r="L58" s="363">
        <f>IF(L56=0,"",(L57/L56)*100)</f>
        <v>97.560975609756099</v>
      </c>
      <c r="M58" s="362"/>
      <c r="N58" s="363">
        <f>IF(N56=0,"",(N57/N56)*100)</f>
        <v>97.560975609756099</v>
      </c>
      <c r="O58" s="362"/>
      <c r="P58" s="363">
        <f>IF(P56=0,"",(P57/P56)*100)</f>
        <v>0</v>
      </c>
      <c r="Q58" s="364"/>
      <c r="R58" s="362"/>
    </row>
    <row r="59" spans="1:18" ht="17.399999999999999">
      <c r="A59" s="381"/>
      <c r="B59" s="46" t="s">
        <v>77</v>
      </c>
      <c r="C59" s="361">
        <f>COUNTIFS(E8:E52,"&lt;=32",E8:E52,"&gt; 0")</f>
        <v>0</v>
      </c>
      <c r="D59" s="364"/>
      <c r="E59" s="362"/>
      <c r="F59" s="361">
        <f>COUNTIFS(G8:G52,"&lt;=32",G8:G52,"&gt; 0")</f>
        <v>3</v>
      </c>
      <c r="G59" s="362"/>
      <c r="H59" s="361">
        <f>COUNTIFS(I8:I52,"&lt;=32",I8:I52,"&gt; 0")</f>
        <v>0</v>
      </c>
      <c r="I59" s="362"/>
      <c r="J59" s="361">
        <f>COUNTIFS(K8:K52,"&lt;=32",K8:K52,"&gt; 0")</f>
        <v>2</v>
      </c>
      <c r="K59" s="362"/>
      <c r="L59" s="361">
        <f>COUNTIFS(M8:M52,"&lt;=32",M8:M52,"&gt; 0")</f>
        <v>1</v>
      </c>
      <c r="M59" s="362"/>
      <c r="N59" s="361">
        <f>COUNTIFS(O8:O52,"&lt;=32",O8:O52,"&gt; 0")</f>
        <v>1</v>
      </c>
      <c r="O59" s="362"/>
      <c r="P59" s="361">
        <f>COUNTIFS(Q8:Q52,"&lt;=32",Q8:Q52,"&gt; 0")</f>
        <v>1</v>
      </c>
      <c r="Q59" s="364"/>
      <c r="R59" s="362"/>
    </row>
    <row r="60" spans="1:18" ht="17.399999999999999">
      <c r="A60" s="381"/>
      <c r="B60" s="46" t="s">
        <v>78</v>
      </c>
      <c r="C60" s="361">
        <f>COUNTIFS(E8:E52,"&gt;=32.1",E8:E52,"&lt;=44")</f>
        <v>2</v>
      </c>
      <c r="D60" s="364"/>
      <c r="E60" s="362"/>
      <c r="F60" s="361">
        <f>COUNTIFS(G8:G52,"&gt;=32.1",G8:G52,"&lt;=44")</f>
        <v>3</v>
      </c>
      <c r="G60" s="362"/>
      <c r="H60" s="361">
        <f>COUNTIFS(I8:I52,"&gt;=32.1",I8:I52,"&lt;=44")</f>
        <v>7</v>
      </c>
      <c r="I60" s="362"/>
      <c r="J60" s="361">
        <f>COUNTIFS(K8:K52,"&gt;=32.1",K8:K52,"&lt;=44")</f>
        <v>10</v>
      </c>
      <c r="K60" s="362"/>
      <c r="L60" s="361">
        <f>COUNTIFS(M8:M52,"&gt;=32.1",M8:M52,"&lt;=44")</f>
        <v>5</v>
      </c>
      <c r="M60" s="362"/>
      <c r="N60" s="361">
        <f>COUNTIFS(O8:O52,"&gt;=32.1",O8:O52,"&lt;=44")</f>
        <v>5</v>
      </c>
      <c r="O60" s="362"/>
      <c r="P60" s="361">
        <f>COUNTIFS(Q8:Q52,"&gt;=32.1",Q8:Q52,"&lt;=44")</f>
        <v>2</v>
      </c>
      <c r="Q60" s="364"/>
      <c r="R60" s="362"/>
    </row>
    <row r="61" spans="1:18" ht="17.399999999999999">
      <c r="A61" s="381"/>
      <c r="B61" s="46" t="s">
        <v>79</v>
      </c>
      <c r="C61" s="361">
        <f>COUNTIFS(E8:E52,"&gt;=44.1",E8:E52,"&lt;=59")</f>
        <v>6</v>
      </c>
      <c r="D61" s="364"/>
      <c r="E61" s="362"/>
      <c r="F61" s="361">
        <f>COUNTIFS(G8:G52,"&gt;=44.1",G8:G52,"&lt;=59")</f>
        <v>8</v>
      </c>
      <c r="G61" s="362"/>
      <c r="H61" s="361">
        <f>COUNTIFS(I8:I52,"&gt;=44.1",I8:I52,"&lt;=59")</f>
        <v>6</v>
      </c>
      <c r="I61" s="362"/>
      <c r="J61" s="361">
        <f>COUNTIFS(K8:K52,"&gt;=44.1",K8:K52,"&lt;=59")</f>
        <v>7</v>
      </c>
      <c r="K61" s="362"/>
      <c r="L61" s="361">
        <f>COUNTIFS(M8:M52,"&gt;=44.1",M8:M52,"&lt;=59")</f>
        <v>9</v>
      </c>
      <c r="M61" s="362"/>
      <c r="N61" s="361">
        <f>COUNTIFS(O8:O52,"&gt;=44.1",O8:O52,"&lt;=59")</f>
        <v>8</v>
      </c>
      <c r="O61" s="362"/>
      <c r="P61" s="361">
        <f>COUNTIFS(Q8:Q52,"&gt;=44.1",Q8:Q52,"&lt;=59")</f>
        <v>10</v>
      </c>
      <c r="Q61" s="364"/>
      <c r="R61" s="362"/>
    </row>
    <row r="62" spans="1:18" ht="17.399999999999999">
      <c r="A62" s="381"/>
      <c r="B62" s="46" t="s">
        <v>80</v>
      </c>
      <c r="C62" s="361">
        <f>COUNTIFS(E8:E52,"&gt;=59.1",E8:E52,"&lt;=74")</f>
        <v>12</v>
      </c>
      <c r="D62" s="364"/>
      <c r="E62" s="362"/>
      <c r="F62" s="361">
        <f>COUNTIFS(G8:G52,"&gt;=59.1",G8:G52,"&lt;=74")</f>
        <v>8</v>
      </c>
      <c r="G62" s="362"/>
      <c r="H62" s="361">
        <f>COUNTIFS(I8:I52,"&gt;=59.1",I8:I52,"&lt;=74")</f>
        <v>14</v>
      </c>
      <c r="I62" s="362"/>
      <c r="J62" s="361">
        <f>COUNTIFS(K8:K52,"&gt;=59.1",K8:K52,"&lt;=74")</f>
        <v>10</v>
      </c>
      <c r="K62" s="362"/>
      <c r="L62" s="361">
        <f>COUNTIFS(M8:M52,"&gt;=59.1",M8:M52,"&lt;=74")</f>
        <v>11</v>
      </c>
      <c r="M62" s="362"/>
      <c r="N62" s="361">
        <f>COUNTIFS(O8:O52,"&gt;=59.1",O8:O52,"&lt;=74")</f>
        <v>7</v>
      </c>
      <c r="O62" s="362"/>
      <c r="P62" s="361">
        <f>COUNTIFS(Q8:Q52,"&gt;=59.1",Q8:Q52,"&lt;=74")</f>
        <v>14</v>
      </c>
      <c r="Q62" s="364"/>
      <c r="R62" s="362"/>
    </row>
    <row r="63" spans="1:18" ht="17.399999999999999">
      <c r="A63" s="381"/>
      <c r="B63" s="46" t="s">
        <v>81</v>
      </c>
      <c r="C63" s="361">
        <f>COUNTIFS(E8:E52,"&gt;=74.1",E8:E52,"&lt;89")</f>
        <v>13</v>
      </c>
      <c r="D63" s="364"/>
      <c r="E63" s="362"/>
      <c r="F63" s="361">
        <f>COUNTIFS(G8:G52,"&gt;=74.1",G8:G52,"&lt;89")</f>
        <v>12</v>
      </c>
      <c r="G63" s="362"/>
      <c r="H63" s="361">
        <f>COUNTIFS(I8:I52,"&gt;=74.1",I8:I52,"&lt;89")</f>
        <v>8</v>
      </c>
      <c r="I63" s="362"/>
      <c r="J63" s="361">
        <f>COUNTIFS(K8:K52,"&gt;=74.1",K8:K52,"&lt;89")</f>
        <v>8</v>
      </c>
      <c r="K63" s="362"/>
      <c r="L63" s="361">
        <f>COUNTIFS(M8:M52,"&gt;=74.1",M8:M52,"&lt;89")</f>
        <v>6</v>
      </c>
      <c r="M63" s="362"/>
      <c r="N63" s="361">
        <f>COUNTIFS(O8:O52,"&gt;=74.1",O8:O52,"&lt;89")</f>
        <v>10</v>
      </c>
      <c r="O63" s="362"/>
      <c r="P63" s="361">
        <f>COUNTIFS(Q8:Q52,"&gt;=74.1",Q8:Q52,"&lt;89")</f>
        <v>7</v>
      </c>
      <c r="Q63" s="364"/>
      <c r="R63" s="362"/>
    </row>
    <row r="64" spans="1:18" ht="17.399999999999999">
      <c r="A64" s="382"/>
      <c r="B64" s="48" t="s">
        <v>82</v>
      </c>
      <c r="C64" s="370">
        <f>COUNTIF(E8:E52,"&gt;=89.1")</f>
        <v>8</v>
      </c>
      <c r="D64" s="369"/>
      <c r="E64" s="371"/>
      <c r="F64" s="370">
        <f>COUNTIF(G8:G52,"&gt;=89.1")</f>
        <v>6</v>
      </c>
      <c r="G64" s="371"/>
      <c r="H64" s="370">
        <f>COUNTIF(I8:I52,"&gt;=89.1")</f>
        <v>6</v>
      </c>
      <c r="I64" s="371"/>
      <c r="J64" s="370">
        <f>COUNTIF(K8:K52,"&gt;=89.1")</f>
        <v>3</v>
      </c>
      <c r="K64" s="371"/>
      <c r="L64" s="370">
        <f>COUNTIF(M8:M52,"&gt;=89.1")</f>
        <v>9</v>
      </c>
      <c r="M64" s="371"/>
      <c r="N64" s="370">
        <f>COUNTIF(O8:O52,"&gt;=89.1")</f>
        <v>10</v>
      </c>
      <c r="O64" s="371"/>
      <c r="P64" s="361">
        <f>COUNTIF(Q8:Q52,"&gt;=89.1")</f>
        <v>6</v>
      </c>
      <c r="Q64" s="364"/>
      <c r="R64" s="362"/>
    </row>
    <row r="65" spans="1:18" ht="17.399999999999999">
      <c r="A65" s="388" t="s">
        <v>83</v>
      </c>
      <c r="B65" s="364"/>
      <c r="C65" s="372"/>
      <c r="D65" s="364"/>
      <c r="E65" s="362"/>
      <c r="F65" s="372"/>
      <c r="G65" s="362"/>
      <c r="H65" s="372"/>
      <c r="I65" s="362"/>
      <c r="J65" s="372"/>
      <c r="K65" s="362"/>
      <c r="L65" s="372"/>
      <c r="M65" s="362"/>
      <c r="N65" s="372"/>
      <c r="O65" s="362"/>
      <c r="P65" s="367" t="s">
        <v>84</v>
      </c>
      <c r="Q65" s="364"/>
      <c r="R65" s="82">
        <f>IF(P56=0,"",P55/P56*100)</f>
        <v>0</v>
      </c>
    </row>
    <row r="66" spans="1:18" ht="17.399999999999999">
      <c r="A66" s="1"/>
      <c r="B66" s="1"/>
      <c r="C66" s="390"/>
      <c r="D66" s="369"/>
      <c r="E66" s="369"/>
      <c r="F66" s="369"/>
      <c r="G66" s="369"/>
      <c r="H66" s="369"/>
      <c r="I66" s="369"/>
      <c r="J66" s="369"/>
      <c r="K66" s="369"/>
      <c r="L66" s="369"/>
      <c r="M66" s="369"/>
      <c r="N66" s="368" t="s">
        <v>86</v>
      </c>
      <c r="O66" s="369"/>
      <c r="P66" s="369"/>
      <c r="Q66" s="369"/>
      <c r="R66" s="369"/>
    </row>
  </sheetData>
  <mergeCells count="107">
    <mergeCell ref="A65:B65"/>
    <mergeCell ref="C65:E65"/>
    <mergeCell ref="F65:G65"/>
    <mergeCell ref="H65:I65"/>
    <mergeCell ref="J65:K65"/>
    <mergeCell ref="L65:M65"/>
    <mergeCell ref="C66:M66"/>
    <mergeCell ref="A54:A64"/>
    <mergeCell ref="F54:G54"/>
    <mergeCell ref="H54:I54"/>
    <mergeCell ref="J54:K54"/>
    <mergeCell ref="L55:M55"/>
    <mergeCell ref="L59:M59"/>
    <mergeCell ref="C60:E60"/>
    <mergeCell ref="F60:G60"/>
    <mergeCell ref="H60:I60"/>
    <mergeCell ref="J60:K60"/>
    <mergeCell ref="L60:M60"/>
    <mergeCell ref="C61:E61"/>
    <mergeCell ref="F61:G61"/>
    <mergeCell ref="H61:I61"/>
    <mergeCell ref="J61:K61"/>
    <mergeCell ref="L61:M61"/>
    <mergeCell ref="C62:E62"/>
    <mergeCell ref="F62:G62"/>
    <mergeCell ref="H62:I62"/>
    <mergeCell ref="J62:K62"/>
    <mergeCell ref="L62:M62"/>
    <mergeCell ref="C63:E63"/>
    <mergeCell ref="F63:G63"/>
    <mergeCell ref="H63:I63"/>
    <mergeCell ref="N57:O57"/>
    <mergeCell ref="P57:R57"/>
    <mergeCell ref="P58:R58"/>
    <mergeCell ref="L63:M63"/>
    <mergeCell ref="C64:E64"/>
    <mergeCell ref="F64:G64"/>
    <mergeCell ref="H64:I64"/>
    <mergeCell ref="J64:K64"/>
    <mergeCell ref="L64:M64"/>
    <mergeCell ref="J63:K63"/>
    <mergeCell ref="N54:O54"/>
    <mergeCell ref="P54:R54"/>
    <mergeCell ref="C55:E55"/>
    <mergeCell ref="F55:G55"/>
    <mergeCell ref="H55:I55"/>
    <mergeCell ref="J55:K55"/>
    <mergeCell ref="N55:O55"/>
    <mergeCell ref="P55:R55"/>
    <mergeCell ref="F56:G56"/>
    <mergeCell ref="H56:I56"/>
    <mergeCell ref="N56:O56"/>
    <mergeCell ref="P56:R56"/>
    <mergeCell ref="A1:R1"/>
    <mergeCell ref="A2:E2"/>
    <mergeCell ref="F2:K2"/>
    <mergeCell ref="L2:R2"/>
    <mergeCell ref="A3:B3"/>
    <mergeCell ref="C3:E3"/>
    <mergeCell ref="F3:K3"/>
    <mergeCell ref="N5:O5"/>
    <mergeCell ref="P5:Q5"/>
    <mergeCell ref="L3:R3"/>
    <mergeCell ref="A4:R4"/>
    <mergeCell ref="A5:A7"/>
    <mergeCell ref="B5:B7"/>
    <mergeCell ref="C5:E5"/>
    <mergeCell ref="F5:G5"/>
    <mergeCell ref="H5:I5"/>
    <mergeCell ref="R5:R7"/>
    <mergeCell ref="J5:K5"/>
    <mergeCell ref="L5:M5"/>
    <mergeCell ref="N58:O58"/>
    <mergeCell ref="N59:O59"/>
    <mergeCell ref="P59:R59"/>
    <mergeCell ref="N60:O60"/>
    <mergeCell ref="P60:R60"/>
    <mergeCell ref="N61:O61"/>
    <mergeCell ref="P61:R61"/>
    <mergeCell ref="P65:Q65"/>
    <mergeCell ref="N66:R66"/>
    <mergeCell ref="N62:O62"/>
    <mergeCell ref="P62:R62"/>
    <mergeCell ref="N63:O63"/>
    <mergeCell ref="P63:R63"/>
    <mergeCell ref="N64:O64"/>
    <mergeCell ref="P64:R64"/>
    <mergeCell ref="N65:O65"/>
    <mergeCell ref="C58:E58"/>
    <mergeCell ref="F58:G58"/>
    <mergeCell ref="H58:I58"/>
    <mergeCell ref="J58:K58"/>
    <mergeCell ref="L58:M58"/>
    <mergeCell ref="C59:E59"/>
    <mergeCell ref="F59:G59"/>
    <mergeCell ref="H59:I59"/>
    <mergeCell ref="J59:K59"/>
    <mergeCell ref="C54:E54"/>
    <mergeCell ref="C56:E56"/>
    <mergeCell ref="J56:K56"/>
    <mergeCell ref="L56:M56"/>
    <mergeCell ref="C57:E57"/>
    <mergeCell ref="F57:G57"/>
    <mergeCell ref="H57:I57"/>
    <mergeCell ref="J57:K57"/>
    <mergeCell ref="L57:M57"/>
    <mergeCell ref="L54:M5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Q72"/>
  <sheetViews>
    <sheetView workbookViewId="0"/>
  </sheetViews>
  <sheetFormatPr defaultColWidth="12.6640625" defaultRowHeight="15.75" customHeight="1"/>
  <cols>
    <col min="2" max="2" width="33.44140625" customWidth="1"/>
  </cols>
  <sheetData>
    <row r="1" spans="1:17" ht="15.75" customHeight="1">
      <c r="A1" s="392" t="s">
        <v>87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</row>
    <row r="2" spans="1:17" ht="15.75" customHeight="1">
      <c r="A2" s="373" t="s">
        <v>0</v>
      </c>
      <c r="B2" s="366"/>
      <c r="C2" s="366"/>
      <c r="D2" s="366"/>
      <c r="E2" s="374" t="s">
        <v>1</v>
      </c>
      <c r="F2" s="366"/>
      <c r="G2" s="366"/>
      <c r="H2" s="366"/>
      <c r="I2" s="366"/>
      <c r="J2" s="366"/>
      <c r="K2" s="375" t="s">
        <v>2</v>
      </c>
      <c r="L2" s="366"/>
      <c r="M2" s="366"/>
      <c r="N2" s="366"/>
      <c r="O2" s="366"/>
      <c r="P2" s="366"/>
      <c r="Q2" s="366"/>
    </row>
    <row r="3" spans="1:17" ht="15.75" customHeight="1">
      <c r="A3" s="383" t="s">
        <v>141</v>
      </c>
      <c r="B3" s="366"/>
      <c r="C3" s="374" t="s">
        <v>426</v>
      </c>
      <c r="D3" s="366"/>
      <c r="E3" s="374" t="s">
        <v>4</v>
      </c>
      <c r="F3" s="366"/>
      <c r="G3" s="366"/>
      <c r="H3" s="366"/>
      <c r="I3" s="366"/>
      <c r="J3" s="366"/>
      <c r="K3" s="374" t="s">
        <v>5</v>
      </c>
      <c r="L3" s="366"/>
      <c r="M3" s="366"/>
      <c r="N3" s="366"/>
      <c r="O3" s="366"/>
      <c r="P3" s="366"/>
      <c r="Q3" s="366"/>
    </row>
    <row r="4" spans="1:17" ht="15.75" customHeight="1">
      <c r="A4" s="377" t="s">
        <v>427</v>
      </c>
      <c r="B4" s="378"/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8"/>
      <c r="O4" s="378"/>
      <c r="P4" s="378"/>
      <c r="Q4" s="378"/>
    </row>
    <row r="5" spans="1:17">
      <c r="A5" s="384" t="s">
        <v>7</v>
      </c>
      <c r="B5" s="385" t="s">
        <v>8</v>
      </c>
      <c r="C5" s="379" t="s">
        <v>9</v>
      </c>
      <c r="D5" s="360"/>
      <c r="E5" s="379" t="s">
        <v>10</v>
      </c>
      <c r="F5" s="360"/>
      <c r="G5" s="379" t="s">
        <v>11</v>
      </c>
      <c r="H5" s="360"/>
      <c r="I5" s="379" t="s">
        <v>12</v>
      </c>
      <c r="J5" s="360"/>
      <c r="K5" s="379" t="s">
        <v>13</v>
      </c>
      <c r="L5" s="360"/>
      <c r="M5" s="379" t="s">
        <v>14</v>
      </c>
      <c r="N5" s="360"/>
      <c r="O5" s="367" t="s">
        <v>15</v>
      </c>
      <c r="P5" s="362"/>
      <c r="Q5" s="380" t="s">
        <v>16</v>
      </c>
    </row>
    <row r="6" spans="1:17">
      <c r="A6" s="381"/>
      <c r="B6" s="381"/>
      <c r="C6" s="4" t="s">
        <v>17</v>
      </c>
      <c r="D6" s="5">
        <v>40</v>
      </c>
      <c r="E6" s="4" t="s">
        <v>17</v>
      </c>
      <c r="F6" s="5">
        <v>40</v>
      </c>
      <c r="G6" s="4" t="s">
        <v>17</v>
      </c>
      <c r="H6" s="5">
        <v>40</v>
      </c>
      <c r="I6" s="4" t="s">
        <v>17</v>
      </c>
      <c r="J6" s="5">
        <v>40</v>
      </c>
      <c r="K6" s="4" t="s">
        <v>17</v>
      </c>
      <c r="L6" s="5">
        <v>40</v>
      </c>
      <c r="M6" s="4" t="s">
        <v>17</v>
      </c>
      <c r="N6" s="5">
        <v>40</v>
      </c>
      <c r="O6" s="4" t="s">
        <v>17</v>
      </c>
      <c r="P6" s="5">
        <v>600</v>
      </c>
      <c r="Q6" s="381"/>
    </row>
    <row r="7" spans="1:17">
      <c r="A7" s="382"/>
      <c r="B7" s="382"/>
      <c r="C7" s="6" t="s">
        <v>18</v>
      </c>
      <c r="D7" s="6" t="s">
        <v>19</v>
      </c>
      <c r="E7" s="6" t="s">
        <v>18</v>
      </c>
      <c r="F7" s="6" t="s">
        <v>19</v>
      </c>
      <c r="G7" s="6" t="s">
        <v>18</v>
      </c>
      <c r="H7" s="6" t="s">
        <v>19</v>
      </c>
      <c r="I7" s="6" t="s">
        <v>18</v>
      </c>
      <c r="J7" s="6" t="s">
        <v>19</v>
      </c>
      <c r="K7" s="6" t="s">
        <v>18</v>
      </c>
      <c r="L7" s="6" t="s">
        <v>19</v>
      </c>
      <c r="M7" s="6" t="s">
        <v>18</v>
      </c>
      <c r="N7" s="6" t="s">
        <v>19</v>
      </c>
      <c r="O7" s="6" t="s">
        <v>18</v>
      </c>
      <c r="P7" s="6" t="s">
        <v>19</v>
      </c>
      <c r="Q7" s="382"/>
    </row>
    <row r="8" spans="1:17" ht="15.75" customHeight="1">
      <c r="A8" s="41">
        <v>1</v>
      </c>
      <c r="B8" s="133" t="s">
        <v>428</v>
      </c>
      <c r="C8" s="77">
        <v>33</v>
      </c>
      <c r="D8" s="12">
        <f t="shared" ref="D8:D49" si="0">IF(C8="","",IF(C8="AB","AB",IF(C8="TC","TC",(C8/D$6)*100)))</f>
        <v>82.5</v>
      </c>
      <c r="E8" s="13">
        <v>32</v>
      </c>
      <c r="F8" s="12">
        <f t="shared" ref="F8:F49" si="1">IF(E8="","",IF(E8="AB","AB",IF(E8="TC","TC",(E8/F$6)*100)))</f>
        <v>80</v>
      </c>
      <c r="G8" s="160">
        <v>38</v>
      </c>
      <c r="H8" s="12">
        <f t="shared" ref="H8:H48" si="2">IF(G8="","",IF(G8="AB",AB,IF(G8="TC","TC",(G8/H$6)*100)))</f>
        <v>95</v>
      </c>
      <c r="I8" s="33">
        <v>32</v>
      </c>
      <c r="J8" s="12">
        <f t="shared" ref="J8:J9" si="3">IF(I8="","",IF(I8="AB","AB",IF(I8="TC","TC",(I8/J$6)*100)))</f>
        <v>80</v>
      </c>
      <c r="K8" s="161">
        <v>31</v>
      </c>
      <c r="L8" s="162">
        <f t="shared" ref="L8:L50" si="4">IF(K8="","",IF(K8="AB","AB",IF(K8="TC","TC",(K8/L$6)*100)))</f>
        <v>77.5</v>
      </c>
      <c r="M8" s="163">
        <v>35</v>
      </c>
      <c r="N8" s="12">
        <f t="shared" ref="N8:N48" si="5">IF(M8="","",IF(M8="AB",AB,IF(M8="TC","TC",(M8/N$6)*100)))</f>
        <v>87.5</v>
      </c>
      <c r="O8" s="12">
        <f t="shared" ref="O8:O48" si="6">SUM(D8,F8,H8,J8,L8,N8)</f>
        <v>502.5</v>
      </c>
      <c r="P8" s="17">
        <f t="shared" ref="P8:P48" si="7">IF(O8="","",IF(O8="AB","AB",(O8/P$6)*100))</f>
        <v>83.75</v>
      </c>
      <c r="Q8" s="22"/>
    </row>
    <row r="9" spans="1:17" ht="15.75" customHeight="1">
      <c r="A9" s="41">
        <v>2</v>
      </c>
      <c r="B9" s="133" t="s">
        <v>429</v>
      </c>
      <c r="C9" s="164">
        <v>23</v>
      </c>
      <c r="D9" s="12">
        <f t="shared" si="0"/>
        <v>57.499999999999993</v>
      </c>
      <c r="E9" s="41">
        <v>25</v>
      </c>
      <c r="F9" s="12">
        <f t="shared" si="1"/>
        <v>62.5</v>
      </c>
      <c r="G9" s="7">
        <v>26</v>
      </c>
      <c r="H9" s="12">
        <f t="shared" si="2"/>
        <v>65</v>
      </c>
      <c r="I9" s="33">
        <v>17</v>
      </c>
      <c r="J9" s="12">
        <f t="shared" si="3"/>
        <v>42.5</v>
      </c>
      <c r="K9" s="7">
        <v>26</v>
      </c>
      <c r="L9" s="162">
        <f t="shared" si="4"/>
        <v>65</v>
      </c>
      <c r="M9" s="163">
        <v>34</v>
      </c>
      <c r="N9" s="12">
        <f t="shared" si="5"/>
        <v>85</v>
      </c>
      <c r="O9" s="12">
        <f t="shared" si="6"/>
        <v>377.5</v>
      </c>
      <c r="P9" s="17">
        <f t="shared" si="7"/>
        <v>62.916666666666664</v>
      </c>
      <c r="Q9" s="22"/>
    </row>
    <row r="10" spans="1:17" ht="15.75" customHeight="1">
      <c r="A10" s="41">
        <v>3</v>
      </c>
      <c r="B10" s="133" t="s">
        <v>430</v>
      </c>
      <c r="C10" s="164">
        <v>32</v>
      </c>
      <c r="D10" s="12">
        <f t="shared" si="0"/>
        <v>80</v>
      </c>
      <c r="E10" s="41">
        <v>34</v>
      </c>
      <c r="F10" s="12">
        <f t="shared" si="1"/>
        <v>85</v>
      </c>
      <c r="G10" s="7">
        <v>37</v>
      </c>
      <c r="H10" s="12">
        <f t="shared" si="2"/>
        <v>92.5</v>
      </c>
      <c r="I10" s="33">
        <v>36</v>
      </c>
      <c r="J10" s="12">
        <f t="shared" ref="J10:J48" si="8">IF(I10="","",IF(I10="AB",AB,IF(I10="TC","TC",(I10/J$6)*100)))</f>
        <v>90</v>
      </c>
      <c r="K10" s="7">
        <v>25</v>
      </c>
      <c r="L10" s="162">
        <f t="shared" si="4"/>
        <v>62.5</v>
      </c>
      <c r="M10" s="165">
        <v>35</v>
      </c>
      <c r="N10" s="12">
        <f t="shared" si="5"/>
        <v>87.5</v>
      </c>
      <c r="O10" s="12">
        <f t="shared" si="6"/>
        <v>497.5</v>
      </c>
      <c r="P10" s="17">
        <f t="shared" si="7"/>
        <v>82.916666666666671</v>
      </c>
      <c r="Q10" s="22"/>
    </row>
    <row r="11" spans="1:17" ht="15.75" customHeight="1">
      <c r="A11" s="41">
        <v>4</v>
      </c>
      <c r="B11" s="133" t="s">
        <v>431</v>
      </c>
      <c r="C11" s="164">
        <v>33</v>
      </c>
      <c r="D11" s="12">
        <f t="shared" si="0"/>
        <v>82.5</v>
      </c>
      <c r="E11" s="41">
        <v>36</v>
      </c>
      <c r="F11" s="12">
        <f t="shared" si="1"/>
        <v>90</v>
      </c>
      <c r="G11" s="7">
        <v>39</v>
      </c>
      <c r="H11" s="12">
        <f t="shared" si="2"/>
        <v>97.5</v>
      </c>
      <c r="I11" s="33">
        <v>29</v>
      </c>
      <c r="J11" s="12">
        <f t="shared" si="8"/>
        <v>72.5</v>
      </c>
      <c r="K11" s="7">
        <v>30</v>
      </c>
      <c r="L11" s="162">
        <f t="shared" si="4"/>
        <v>75</v>
      </c>
      <c r="M11" s="163">
        <v>37</v>
      </c>
      <c r="N11" s="12">
        <f t="shared" si="5"/>
        <v>92.5</v>
      </c>
      <c r="O11" s="12">
        <f t="shared" si="6"/>
        <v>510</v>
      </c>
      <c r="P11" s="17">
        <f t="shared" si="7"/>
        <v>85</v>
      </c>
      <c r="Q11" s="22"/>
    </row>
    <row r="12" spans="1:17" ht="15.75" customHeight="1">
      <c r="A12" s="41">
        <v>5</v>
      </c>
      <c r="B12" s="133" t="s">
        <v>432</v>
      </c>
      <c r="C12" s="164">
        <v>30</v>
      </c>
      <c r="D12" s="12">
        <f t="shared" si="0"/>
        <v>75</v>
      </c>
      <c r="E12" s="13">
        <v>36</v>
      </c>
      <c r="F12" s="12">
        <f t="shared" si="1"/>
        <v>90</v>
      </c>
      <c r="G12" s="7">
        <v>36</v>
      </c>
      <c r="H12" s="12">
        <f t="shared" si="2"/>
        <v>90</v>
      </c>
      <c r="I12" s="33">
        <v>32</v>
      </c>
      <c r="J12" s="12">
        <f t="shared" si="8"/>
        <v>80</v>
      </c>
      <c r="K12" s="166">
        <v>35</v>
      </c>
      <c r="L12" s="162">
        <f t="shared" si="4"/>
        <v>87.5</v>
      </c>
      <c r="M12" s="165">
        <v>35</v>
      </c>
      <c r="N12" s="12">
        <f t="shared" si="5"/>
        <v>87.5</v>
      </c>
      <c r="O12" s="12">
        <f t="shared" si="6"/>
        <v>510</v>
      </c>
      <c r="P12" s="17">
        <f t="shared" si="7"/>
        <v>85</v>
      </c>
      <c r="Q12" s="22"/>
    </row>
    <row r="13" spans="1:17" ht="15.75" customHeight="1">
      <c r="A13" s="41">
        <v>6</v>
      </c>
      <c r="B13" s="133" t="s">
        <v>433</v>
      </c>
      <c r="C13" s="164">
        <v>25</v>
      </c>
      <c r="D13" s="12">
        <f t="shared" si="0"/>
        <v>62.5</v>
      </c>
      <c r="E13" s="41">
        <v>30</v>
      </c>
      <c r="F13" s="12">
        <f t="shared" si="1"/>
        <v>75</v>
      </c>
      <c r="G13" s="7">
        <v>22</v>
      </c>
      <c r="H13" s="12">
        <f t="shared" si="2"/>
        <v>55.000000000000007</v>
      </c>
      <c r="I13" s="33">
        <v>21</v>
      </c>
      <c r="J13" s="12">
        <f t="shared" si="8"/>
        <v>52.5</v>
      </c>
      <c r="K13" s="7">
        <v>25</v>
      </c>
      <c r="L13" s="162">
        <f t="shared" si="4"/>
        <v>62.5</v>
      </c>
      <c r="M13" s="165">
        <v>31</v>
      </c>
      <c r="N13" s="12">
        <f t="shared" si="5"/>
        <v>77.5</v>
      </c>
      <c r="O13" s="12">
        <f t="shared" si="6"/>
        <v>385</v>
      </c>
      <c r="P13" s="17">
        <f t="shared" si="7"/>
        <v>64.166666666666671</v>
      </c>
      <c r="Q13" s="22"/>
    </row>
    <row r="14" spans="1:17" ht="15.75" customHeight="1">
      <c r="A14" s="41">
        <v>7</v>
      </c>
      <c r="B14" s="133" t="s">
        <v>434</v>
      </c>
      <c r="C14" s="164">
        <v>33</v>
      </c>
      <c r="D14" s="12">
        <f t="shared" si="0"/>
        <v>82.5</v>
      </c>
      <c r="E14" s="41">
        <v>39</v>
      </c>
      <c r="F14" s="12">
        <f t="shared" si="1"/>
        <v>97.5</v>
      </c>
      <c r="G14" s="7">
        <v>31</v>
      </c>
      <c r="H14" s="12">
        <f t="shared" si="2"/>
        <v>77.5</v>
      </c>
      <c r="I14" s="33">
        <v>33</v>
      </c>
      <c r="J14" s="12">
        <f t="shared" si="8"/>
        <v>82.5</v>
      </c>
      <c r="K14" s="7">
        <v>39</v>
      </c>
      <c r="L14" s="162">
        <f t="shared" si="4"/>
        <v>97.5</v>
      </c>
      <c r="M14" s="165">
        <v>27</v>
      </c>
      <c r="N14" s="12">
        <f t="shared" si="5"/>
        <v>67.5</v>
      </c>
      <c r="O14" s="12">
        <f t="shared" si="6"/>
        <v>505</v>
      </c>
      <c r="P14" s="17">
        <f t="shared" si="7"/>
        <v>84.166666666666671</v>
      </c>
      <c r="Q14" s="22"/>
    </row>
    <row r="15" spans="1:17" ht="15.75" customHeight="1">
      <c r="A15" s="41">
        <v>8</v>
      </c>
      <c r="B15" s="133" t="s">
        <v>435</v>
      </c>
      <c r="C15" s="164">
        <v>31</v>
      </c>
      <c r="D15" s="12">
        <f t="shared" si="0"/>
        <v>77.5</v>
      </c>
      <c r="E15" s="41">
        <v>29</v>
      </c>
      <c r="F15" s="12">
        <f t="shared" si="1"/>
        <v>72.5</v>
      </c>
      <c r="G15" s="7">
        <v>30</v>
      </c>
      <c r="H15" s="12">
        <f t="shared" si="2"/>
        <v>75</v>
      </c>
      <c r="I15" s="33">
        <v>24</v>
      </c>
      <c r="J15" s="12">
        <f t="shared" si="8"/>
        <v>60</v>
      </c>
      <c r="K15" s="7">
        <v>30</v>
      </c>
      <c r="L15" s="162">
        <f t="shared" si="4"/>
        <v>75</v>
      </c>
      <c r="M15" s="165">
        <v>40</v>
      </c>
      <c r="N15" s="12">
        <f t="shared" si="5"/>
        <v>100</v>
      </c>
      <c r="O15" s="12">
        <f t="shared" si="6"/>
        <v>460</v>
      </c>
      <c r="P15" s="17">
        <f t="shared" si="7"/>
        <v>76.666666666666671</v>
      </c>
      <c r="Q15" s="22"/>
    </row>
    <row r="16" spans="1:17" ht="15.75" customHeight="1">
      <c r="A16" s="41">
        <v>9</v>
      </c>
      <c r="B16" s="133" t="s">
        <v>436</v>
      </c>
      <c r="C16" s="164"/>
      <c r="D16" s="12" t="str">
        <f t="shared" si="0"/>
        <v/>
      </c>
      <c r="E16" s="22" t="s">
        <v>27</v>
      </c>
      <c r="F16" s="12" t="str">
        <f t="shared" si="1"/>
        <v>TC</v>
      </c>
      <c r="G16" s="167" t="s">
        <v>27</v>
      </c>
      <c r="H16" s="168" t="str">
        <f t="shared" si="2"/>
        <v>TC</v>
      </c>
      <c r="I16" s="33" t="s">
        <v>27</v>
      </c>
      <c r="J16" s="12" t="str">
        <f t="shared" si="8"/>
        <v>TC</v>
      </c>
      <c r="K16" s="7"/>
      <c r="L16" s="162" t="str">
        <f t="shared" si="4"/>
        <v/>
      </c>
      <c r="M16" s="165" t="s">
        <v>27</v>
      </c>
      <c r="N16" s="12" t="str">
        <f t="shared" si="5"/>
        <v>TC</v>
      </c>
      <c r="O16" s="12">
        <f t="shared" si="6"/>
        <v>0</v>
      </c>
      <c r="P16" s="17">
        <f t="shared" si="7"/>
        <v>0</v>
      </c>
      <c r="Q16" s="22"/>
    </row>
    <row r="17" spans="1:17" ht="15.75" customHeight="1">
      <c r="A17" s="41">
        <v>10</v>
      </c>
      <c r="B17" s="133" t="s">
        <v>437</v>
      </c>
      <c r="C17" s="164">
        <v>35</v>
      </c>
      <c r="D17" s="12">
        <f t="shared" si="0"/>
        <v>87.5</v>
      </c>
      <c r="E17" s="41">
        <v>38</v>
      </c>
      <c r="F17" s="12">
        <f t="shared" si="1"/>
        <v>95</v>
      </c>
      <c r="G17" s="7">
        <v>36</v>
      </c>
      <c r="H17" s="12">
        <f t="shared" si="2"/>
        <v>90</v>
      </c>
      <c r="I17" s="33">
        <v>35</v>
      </c>
      <c r="J17" s="12">
        <f t="shared" si="8"/>
        <v>87.5</v>
      </c>
      <c r="K17" s="7">
        <v>35</v>
      </c>
      <c r="L17" s="162">
        <f t="shared" si="4"/>
        <v>87.5</v>
      </c>
      <c r="M17" s="165">
        <v>36</v>
      </c>
      <c r="N17" s="12">
        <f t="shared" si="5"/>
        <v>90</v>
      </c>
      <c r="O17" s="12">
        <f t="shared" si="6"/>
        <v>537.5</v>
      </c>
      <c r="P17" s="17">
        <f t="shared" si="7"/>
        <v>89.583333333333343</v>
      </c>
      <c r="Q17" s="22"/>
    </row>
    <row r="18" spans="1:17" ht="15.75" customHeight="1">
      <c r="A18" s="41">
        <v>11</v>
      </c>
      <c r="B18" s="133" t="s">
        <v>438</v>
      </c>
      <c r="C18" s="164">
        <v>29</v>
      </c>
      <c r="D18" s="12">
        <f t="shared" si="0"/>
        <v>72.5</v>
      </c>
      <c r="E18" s="41">
        <v>34</v>
      </c>
      <c r="F18" s="12">
        <f t="shared" si="1"/>
        <v>85</v>
      </c>
      <c r="G18" s="7">
        <v>34</v>
      </c>
      <c r="H18" s="12">
        <f t="shared" si="2"/>
        <v>85</v>
      </c>
      <c r="I18" s="33">
        <v>22</v>
      </c>
      <c r="J18" s="12">
        <f t="shared" si="8"/>
        <v>55.000000000000007</v>
      </c>
      <c r="K18" s="7">
        <v>29</v>
      </c>
      <c r="L18" s="162">
        <f t="shared" si="4"/>
        <v>72.5</v>
      </c>
      <c r="M18" s="165">
        <v>36</v>
      </c>
      <c r="N18" s="12">
        <f t="shared" si="5"/>
        <v>90</v>
      </c>
      <c r="O18" s="12">
        <f t="shared" si="6"/>
        <v>460</v>
      </c>
      <c r="P18" s="17">
        <f t="shared" si="7"/>
        <v>76.666666666666671</v>
      </c>
      <c r="Q18" s="22"/>
    </row>
    <row r="19" spans="1:17" ht="15.75" customHeight="1">
      <c r="A19" s="41">
        <v>12</v>
      </c>
      <c r="B19" s="133" t="s">
        <v>439</v>
      </c>
      <c r="C19" s="164">
        <v>31</v>
      </c>
      <c r="D19" s="12">
        <f t="shared" si="0"/>
        <v>77.5</v>
      </c>
      <c r="E19" s="41">
        <v>29</v>
      </c>
      <c r="F19" s="12">
        <f t="shared" si="1"/>
        <v>72.5</v>
      </c>
      <c r="G19" s="7">
        <v>25</v>
      </c>
      <c r="H19" s="12">
        <f t="shared" si="2"/>
        <v>62.5</v>
      </c>
      <c r="I19" s="33">
        <v>23</v>
      </c>
      <c r="J19" s="12">
        <f t="shared" si="8"/>
        <v>57.499999999999993</v>
      </c>
      <c r="K19" s="7">
        <v>33</v>
      </c>
      <c r="L19" s="162">
        <f t="shared" si="4"/>
        <v>82.5</v>
      </c>
      <c r="M19" s="165">
        <v>39</v>
      </c>
      <c r="N19" s="12">
        <f t="shared" si="5"/>
        <v>97.5</v>
      </c>
      <c r="O19" s="12">
        <f t="shared" si="6"/>
        <v>450</v>
      </c>
      <c r="P19" s="17">
        <f t="shared" si="7"/>
        <v>75</v>
      </c>
      <c r="Q19" s="22"/>
    </row>
    <row r="20" spans="1:17" ht="15.75" customHeight="1">
      <c r="A20" s="41">
        <v>13</v>
      </c>
      <c r="B20" s="133" t="s">
        <v>440</v>
      </c>
      <c r="C20" s="164">
        <v>26</v>
      </c>
      <c r="D20" s="12">
        <f t="shared" si="0"/>
        <v>65</v>
      </c>
      <c r="E20" s="41">
        <v>22</v>
      </c>
      <c r="F20" s="12">
        <f t="shared" si="1"/>
        <v>55.000000000000007</v>
      </c>
      <c r="G20" s="7">
        <v>27</v>
      </c>
      <c r="H20" s="12">
        <f t="shared" si="2"/>
        <v>67.5</v>
      </c>
      <c r="I20" s="33">
        <v>15</v>
      </c>
      <c r="J20" s="12">
        <f t="shared" si="8"/>
        <v>37.5</v>
      </c>
      <c r="K20" s="7">
        <v>18</v>
      </c>
      <c r="L20" s="162">
        <f t="shared" si="4"/>
        <v>45</v>
      </c>
      <c r="M20" s="165">
        <v>21</v>
      </c>
      <c r="N20" s="12">
        <f t="shared" si="5"/>
        <v>52.5</v>
      </c>
      <c r="O20" s="12">
        <f t="shared" si="6"/>
        <v>322.5</v>
      </c>
      <c r="P20" s="17">
        <f t="shared" si="7"/>
        <v>53.75</v>
      </c>
      <c r="Q20" s="22"/>
    </row>
    <row r="21" spans="1:17" ht="15.75" customHeight="1">
      <c r="A21" s="41">
        <v>14</v>
      </c>
      <c r="B21" s="133" t="s">
        <v>441</v>
      </c>
      <c r="C21" s="164">
        <v>28</v>
      </c>
      <c r="D21" s="12">
        <f t="shared" si="0"/>
        <v>70</v>
      </c>
      <c r="E21" s="41">
        <v>25</v>
      </c>
      <c r="F21" s="12">
        <f t="shared" si="1"/>
        <v>62.5</v>
      </c>
      <c r="G21" s="7">
        <v>28</v>
      </c>
      <c r="H21" s="12">
        <f t="shared" si="2"/>
        <v>70</v>
      </c>
      <c r="I21" s="33">
        <v>17</v>
      </c>
      <c r="J21" s="12">
        <f t="shared" si="8"/>
        <v>42.5</v>
      </c>
      <c r="K21" s="7">
        <v>22</v>
      </c>
      <c r="L21" s="162">
        <f t="shared" si="4"/>
        <v>55.000000000000007</v>
      </c>
      <c r="M21" s="165">
        <v>31</v>
      </c>
      <c r="N21" s="12">
        <f t="shared" si="5"/>
        <v>77.5</v>
      </c>
      <c r="O21" s="12">
        <f t="shared" si="6"/>
        <v>377.5</v>
      </c>
      <c r="P21" s="17">
        <f t="shared" si="7"/>
        <v>62.916666666666664</v>
      </c>
      <c r="Q21" s="22"/>
    </row>
    <row r="22" spans="1:17" ht="15.75" customHeight="1">
      <c r="A22" s="41">
        <v>15</v>
      </c>
      <c r="B22" s="133" t="s">
        <v>442</v>
      </c>
      <c r="C22" s="164">
        <v>32</v>
      </c>
      <c r="D22" s="12">
        <f t="shared" si="0"/>
        <v>80</v>
      </c>
      <c r="E22" s="41">
        <v>36</v>
      </c>
      <c r="F22" s="12">
        <f t="shared" si="1"/>
        <v>90</v>
      </c>
      <c r="G22" s="169">
        <v>25</v>
      </c>
      <c r="H22" s="12">
        <f t="shared" si="2"/>
        <v>62.5</v>
      </c>
      <c r="I22" s="33">
        <v>18</v>
      </c>
      <c r="J22" s="12">
        <f t="shared" si="8"/>
        <v>45</v>
      </c>
      <c r="K22" s="169">
        <v>30</v>
      </c>
      <c r="L22" s="162">
        <f t="shared" si="4"/>
        <v>75</v>
      </c>
      <c r="M22" s="165">
        <v>26</v>
      </c>
      <c r="N22" s="12">
        <f t="shared" si="5"/>
        <v>65</v>
      </c>
      <c r="O22" s="12">
        <f t="shared" si="6"/>
        <v>417.5</v>
      </c>
      <c r="P22" s="17">
        <f t="shared" si="7"/>
        <v>69.583333333333329</v>
      </c>
      <c r="Q22" s="22"/>
    </row>
    <row r="23" spans="1:17" ht="15.75" customHeight="1">
      <c r="A23" s="41">
        <v>16</v>
      </c>
      <c r="B23" s="133" t="s">
        <v>443</v>
      </c>
      <c r="C23" s="164">
        <v>31</v>
      </c>
      <c r="D23" s="12">
        <f t="shared" si="0"/>
        <v>77.5</v>
      </c>
      <c r="E23" s="41">
        <v>30</v>
      </c>
      <c r="F23" s="12">
        <f t="shared" si="1"/>
        <v>75</v>
      </c>
      <c r="G23" s="7">
        <v>32</v>
      </c>
      <c r="H23" s="12">
        <f t="shared" si="2"/>
        <v>80</v>
      </c>
      <c r="I23" s="33">
        <v>30</v>
      </c>
      <c r="J23" s="12">
        <f t="shared" si="8"/>
        <v>75</v>
      </c>
      <c r="K23" s="7">
        <v>26</v>
      </c>
      <c r="L23" s="162">
        <f t="shared" si="4"/>
        <v>65</v>
      </c>
      <c r="M23" s="165">
        <v>30</v>
      </c>
      <c r="N23" s="12">
        <f t="shared" si="5"/>
        <v>75</v>
      </c>
      <c r="O23" s="12">
        <f t="shared" si="6"/>
        <v>447.5</v>
      </c>
      <c r="P23" s="17">
        <f t="shared" si="7"/>
        <v>74.583333333333329</v>
      </c>
      <c r="Q23" s="22"/>
    </row>
    <row r="24" spans="1:17" ht="15.75" customHeight="1">
      <c r="A24" s="41">
        <v>17</v>
      </c>
      <c r="B24" s="133" t="s">
        <v>444</v>
      </c>
      <c r="C24" s="164">
        <v>29</v>
      </c>
      <c r="D24" s="12">
        <f t="shared" si="0"/>
        <v>72.5</v>
      </c>
      <c r="E24" s="41">
        <v>21</v>
      </c>
      <c r="F24" s="12">
        <f t="shared" si="1"/>
        <v>52.5</v>
      </c>
      <c r="G24" s="7">
        <v>28</v>
      </c>
      <c r="H24" s="12">
        <f t="shared" si="2"/>
        <v>70</v>
      </c>
      <c r="I24" s="33">
        <v>22</v>
      </c>
      <c r="J24" s="12">
        <f t="shared" si="8"/>
        <v>55.000000000000007</v>
      </c>
      <c r="K24" s="7">
        <v>17</v>
      </c>
      <c r="L24" s="162">
        <f t="shared" si="4"/>
        <v>42.5</v>
      </c>
      <c r="M24" s="165">
        <v>19</v>
      </c>
      <c r="N24" s="12">
        <f t="shared" si="5"/>
        <v>47.5</v>
      </c>
      <c r="O24" s="12">
        <f t="shared" si="6"/>
        <v>340</v>
      </c>
      <c r="P24" s="17">
        <f t="shared" si="7"/>
        <v>56.666666666666664</v>
      </c>
      <c r="Q24" s="22"/>
    </row>
    <row r="25" spans="1:17" ht="15.75" customHeight="1">
      <c r="A25" s="41">
        <v>18</v>
      </c>
      <c r="B25" s="133" t="s">
        <v>445</v>
      </c>
      <c r="C25" s="164">
        <v>27</v>
      </c>
      <c r="D25" s="12">
        <f t="shared" si="0"/>
        <v>67.5</v>
      </c>
      <c r="E25" s="41">
        <v>31</v>
      </c>
      <c r="F25" s="12">
        <f t="shared" si="1"/>
        <v>77.5</v>
      </c>
      <c r="G25" s="7">
        <v>31</v>
      </c>
      <c r="H25" s="12">
        <f t="shared" si="2"/>
        <v>77.5</v>
      </c>
      <c r="I25" s="33">
        <v>25</v>
      </c>
      <c r="J25" s="12">
        <f t="shared" si="8"/>
        <v>62.5</v>
      </c>
      <c r="K25" s="7">
        <v>27</v>
      </c>
      <c r="L25" s="162">
        <f t="shared" si="4"/>
        <v>67.5</v>
      </c>
      <c r="M25" s="165">
        <v>32</v>
      </c>
      <c r="N25" s="12">
        <f t="shared" si="5"/>
        <v>80</v>
      </c>
      <c r="O25" s="12">
        <f t="shared" si="6"/>
        <v>432.5</v>
      </c>
      <c r="P25" s="17">
        <f t="shared" si="7"/>
        <v>72.083333333333329</v>
      </c>
      <c r="Q25" s="22"/>
    </row>
    <row r="26" spans="1:17" ht="15.75" customHeight="1">
      <c r="A26" s="41">
        <v>19</v>
      </c>
      <c r="B26" s="133" t="s">
        <v>446</v>
      </c>
      <c r="C26" s="18">
        <v>34</v>
      </c>
      <c r="D26" s="37">
        <f t="shared" si="0"/>
        <v>85</v>
      </c>
      <c r="E26" s="41">
        <v>27</v>
      </c>
      <c r="F26" s="12">
        <f t="shared" si="1"/>
        <v>67.5</v>
      </c>
      <c r="G26" s="7">
        <v>20</v>
      </c>
      <c r="H26" s="12">
        <f t="shared" si="2"/>
        <v>50</v>
      </c>
      <c r="I26" s="33"/>
      <c r="J26" s="12" t="str">
        <f t="shared" si="8"/>
        <v/>
      </c>
      <c r="K26" s="7"/>
      <c r="L26" s="162" t="str">
        <f t="shared" si="4"/>
        <v/>
      </c>
      <c r="M26" s="165">
        <v>31</v>
      </c>
      <c r="N26" s="12">
        <f t="shared" si="5"/>
        <v>77.5</v>
      </c>
      <c r="O26" s="12">
        <f t="shared" si="6"/>
        <v>280</v>
      </c>
      <c r="P26" s="17">
        <f t="shared" si="7"/>
        <v>46.666666666666664</v>
      </c>
      <c r="Q26" s="22"/>
    </row>
    <row r="27" spans="1:17" ht="18">
      <c r="A27" s="41">
        <v>20</v>
      </c>
      <c r="B27" s="133" t="s">
        <v>447</v>
      </c>
      <c r="C27" s="164">
        <v>34</v>
      </c>
      <c r="D27" s="12">
        <f t="shared" si="0"/>
        <v>85</v>
      </c>
      <c r="E27" s="41">
        <v>36</v>
      </c>
      <c r="F27" s="12">
        <f t="shared" si="1"/>
        <v>90</v>
      </c>
      <c r="G27" s="7">
        <v>36</v>
      </c>
      <c r="H27" s="12">
        <f t="shared" si="2"/>
        <v>90</v>
      </c>
      <c r="I27" s="33">
        <v>28</v>
      </c>
      <c r="J27" s="12">
        <f t="shared" si="8"/>
        <v>70</v>
      </c>
      <c r="K27" s="7">
        <v>36</v>
      </c>
      <c r="L27" s="162">
        <f t="shared" si="4"/>
        <v>90</v>
      </c>
      <c r="M27" s="165">
        <v>38</v>
      </c>
      <c r="N27" s="12">
        <f t="shared" si="5"/>
        <v>95</v>
      </c>
      <c r="O27" s="12">
        <f t="shared" si="6"/>
        <v>520</v>
      </c>
      <c r="P27" s="17">
        <f t="shared" si="7"/>
        <v>86.666666666666671</v>
      </c>
      <c r="Q27" s="22"/>
    </row>
    <row r="28" spans="1:17" ht="18">
      <c r="A28" s="41">
        <v>21</v>
      </c>
      <c r="B28" s="133" t="s">
        <v>448</v>
      </c>
      <c r="C28" s="164">
        <v>37</v>
      </c>
      <c r="D28" s="12">
        <f t="shared" si="0"/>
        <v>92.5</v>
      </c>
      <c r="E28" s="13">
        <v>37</v>
      </c>
      <c r="F28" s="12">
        <f t="shared" si="1"/>
        <v>92.5</v>
      </c>
      <c r="G28" s="7">
        <v>30</v>
      </c>
      <c r="H28" s="12">
        <f t="shared" si="2"/>
        <v>75</v>
      </c>
      <c r="I28" s="33">
        <v>31</v>
      </c>
      <c r="J28" s="12">
        <f t="shared" si="8"/>
        <v>77.5</v>
      </c>
      <c r="K28" s="7">
        <v>27</v>
      </c>
      <c r="L28" s="162">
        <f t="shared" si="4"/>
        <v>67.5</v>
      </c>
      <c r="M28" s="165">
        <v>33</v>
      </c>
      <c r="N28" s="12">
        <f t="shared" si="5"/>
        <v>82.5</v>
      </c>
      <c r="O28" s="12">
        <f t="shared" si="6"/>
        <v>487.5</v>
      </c>
      <c r="P28" s="17">
        <f t="shared" si="7"/>
        <v>81.25</v>
      </c>
      <c r="Q28" s="22"/>
    </row>
    <row r="29" spans="1:17" ht="18">
      <c r="A29" s="41">
        <v>22</v>
      </c>
      <c r="B29" s="133" t="s">
        <v>449</v>
      </c>
      <c r="C29" s="164">
        <v>36</v>
      </c>
      <c r="D29" s="12">
        <f t="shared" si="0"/>
        <v>90</v>
      </c>
      <c r="E29" s="13">
        <v>38</v>
      </c>
      <c r="F29" s="12">
        <f t="shared" si="1"/>
        <v>95</v>
      </c>
      <c r="G29" s="7">
        <v>37</v>
      </c>
      <c r="H29" s="12">
        <f t="shared" si="2"/>
        <v>92.5</v>
      </c>
      <c r="I29" s="33">
        <v>36</v>
      </c>
      <c r="J29" s="12">
        <f t="shared" si="8"/>
        <v>90</v>
      </c>
      <c r="K29" s="7"/>
      <c r="L29" s="162" t="str">
        <f t="shared" si="4"/>
        <v/>
      </c>
      <c r="M29" s="165">
        <v>37</v>
      </c>
      <c r="N29" s="12">
        <f t="shared" si="5"/>
        <v>92.5</v>
      </c>
      <c r="O29" s="12">
        <f t="shared" si="6"/>
        <v>460</v>
      </c>
      <c r="P29" s="17">
        <f t="shared" si="7"/>
        <v>76.666666666666671</v>
      </c>
      <c r="Q29" s="22"/>
    </row>
    <row r="30" spans="1:17" ht="18">
      <c r="A30" s="41">
        <v>23</v>
      </c>
      <c r="B30" s="133" t="s">
        <v>450</v>
      </c>
      <c r="C30" s="164">
        <v>22</v>
      </c>
      <c r="D30" s="12">
        <f t="shared" si="0"/>
        <v>55.000000000000007</v>
      </c>
      <c r="E30" s="41">
        <v>26</v>
      </c>
      <c r="F30" s="12">
        <f t="shared" si="1"/>
        <v>65</v>
      </c>
      <c r="G30" s="88">
        <v>16</v>
      </c>
      <c r="H30" s="12">
        <f t="shared" si="2"/>
        <v>40</v>
      </c>
      <c r="I30" s="33">
        <v>13</v>
      </c>
      <c r="J30" s="12">
        <f t="shared" si="8"/>
        <v>32.5</v>
      </c>
      <c r="K30" s="88">
        <v>17</v>
      </c>
      <c r="L30" s="162">
        <f t="shared" si="4"/>
        <v>42.5</v>
      </c>
      <c r="M30" s="165">
        <v>26</v>
      </c>
      <c r="N30" s="12">
        <f t="shared" si="5"/>
        <v>65</v>
      </c>
      <c r="O30" s="12">
        <f t="shared" si="6"/>
        <v>300</v>
      </c>
      <c r="P30" s="17">
        <f t="shared" si="7"/>
        <v>50</v>
      </c>
      <c r="Q30" s="22"/>
    </row>
    <row r="31" spans="1:17" ht="18">
      <c r="A31" s="41">
        <v>24</v>
      </c>
      <c r="B31" s="133" t="s">
        <v>451</v>
      </c>
      <c r="C31" s="18">
        <v>32</v>
      </c>
      <c r="D31" s="37">
        <f t="shared" si="0"/>
        <v>80</v>
      </c>
      <c r="E31" s="41">
        <v>28</v>
      </c>
      <c r="F31" s="12">
        <f t="shared" si="1"/>
        <v>70</v>
      </c>
      <c r="G31" s="73">
        <v>32</v>
      </c>
      <c r="H31" s="170">
        <f t="shared" si="2"/>
        <v>80</v>
      </c>
      <c r="I31" s="33">
        <v>28</v>
      </c>
      <c r="J31" s="12">
        <f t="shared" si="8"/>
        <v>70</v>
      </c>
      <c r="K31" s="7">
        <v>27</v>
      </c>
      <c r="L31" s="162">
        <f t="shared" si="4"/>
        <v>67.5</v>
      </c>
      <c r="M31" s="165">
        <v>23</v>
      </c>
      <c r="N31" s="12">
        <f t="shared" si="5"/>
        <v>57.499999999999993</v>
      </c>
      <c r="O31" s="12">
        <f t="shared" si="6"/>
        <v>425</v>
      </c>
      <c r="P31" s="17">
        <f t="shared" si="7"/>
        <v>70.833333333333343</v>
      </c>
      <c r="Q31" s="22"/>
    </row>
    <row r="32" spans="1:17" ht="18">
      <c r="A32" s="41">
        <v>25</v>
      </c>
      <c r="B32" s="133" t="s">
        <v>452</v>
      </c>
      <c r="C32" s="164">
        <v>29</v>
      </c>
      <c r="D32" s="12">
        <f t="shared" si="0"/>
        <v>72.5</v>
      </c>
      <c r="E32" s="41">
        <v>27</v>
      </c>
      <c r="F32" s="12">
        <f t="shared" si="1"/>
        <v>67.5</v>
      </c>
      <c r="G32" s="169">
        <v>29</v>
      </c>
      <c r="H32" s="12">
        <f t="shared" si="2"/>
        <v>72.5</v>
      </c>
      <c r="I32" s="33">
        <v>17</v>
      </c>
      <c r="J32" s="12">
        <f t="shared" si="8"/>
        <v>42.5</v>
      </c>
      <c r="K32" s="169">
        <v>21</v>
      </c>
      <c r="L32" s="162">
        <f t="shared" si="4"/>
        <v>52.5</v>
      </c>
      <c r="M32" s="165">
        <v>18</v>
      </c>
      <c r="N32" s="12">
        <f t="shared" si="5"/>
        <v>45</v>
      </c>
      <c r="O32" s="12">
        <f t="shared" si="6"/>
        <v>352.5</v>
      </c>
      <c r="P32" s="17">
        <f t="shared" si="7"/>
        <v>58.75</v>
      </c>
      <c r="Q32" s="22"/>
    </row>
    <row r="33" spans="1:17" ht="18">
      <c r="A33" s="41">
        <v>26</v>
      </c>
      <c r="B33" s="133" t="s">
        <v>453</v>
      </c>
      <c r="C33" s="164">
        <v>31</v>
      </c>
      <c r="D33" s="12">
        <f t="shared" si="0"/>
        <v>77.5</v>
      </c>
      <c r="E33" s="41">
        <v>23</v>
      </c>
      <c r="F33" s="12">
        <f t="shared" si="1"/>
        <v>57.499999999999993</v>
      </c>
      <c r="G33" s="7">
        <v>15</v>
      </c>
      <c r="H33" s="12">
        <f t="shared" si="2"/>
        <v>37.5</v>
      </c>
      <c r="I33" s="33">
        <v>22</v>
      </c>
      <c r="J33" s="12">
        <f t="shared" si="8"/>
        <v>55.000000000000007</v>
      </c>
      <c r="K33" s="7">
        <v>19</v>
      </c>
      <c r="L33" s="162">
        <f t="shared" si="4"/>
        <v>47.5</v>
      </c>
      <c r="M33" s="165">
        <v>21</v>
      </c>
      <c r="N33" s="12">
        <f t="shared" si="5"/>
        <v>52.5</v>
      </c>
      <c r="O33" s="12">
        <f t="shared" si="6"/>
        <v>327.5</v>
      </c>
      <c r="P33" s="17">
        <f t="shared" si="7"/>
        <v>54.583333333333329</v>
      </c>
      <c r="Q33" s="22"/>
    </row>
    <row r="34" spans="1:17" ht="18">
      <c r="A34" s="41">
        <v>27</v>
      </c>
      <c r="B34" s="133" t="s">
        <v>454</v>
      </c>
      <c r="C34" s="164">
        <v>24</v>
      </c>
      <c r="D34" s="12">
        <f t="shared" si="0"/>
        <v>60</v>
      </c>
      <c r="E34" s="41">
        <v>24</v>
      </c>
      <c r="F34" s="12">
        <f t="shared" si="1"/>
        <v>60</v>
      </c>
      <c r="G34" s="7">
        <v>15</v>
      </c>
      <c r="H34" s="12">
        <f t="shared" si="2"/>
        <v>37.5</v>
      </c>
      <c r="I34" s="33">
        <v>17</v>
      </c>
      <c r="J34" s="12">
        <f t="shared" si="8"/>
        <v>42.5</v>
      </c>
      <c r="K34" s="7">
        <v>24</v>
      </c>
      <c r="L34" s="162">
        <f t="shared" si="4"/>
        <v>60</v>
      </c>
      <c r="M34" s="165">
        <v>18</v>
      </c>
      <c r="N34" s="12">
        <f t="shared" si="5"/>
        <v>45</v>
      </c>
      <c r="O34" s="12">
        <f t="shared" si="6"/>
        <v>305</v>
      </c>
      <c r="P34" s="17">
        <f t="shared" si="7"/>
        <v>50.833333333333329</v>
      </c>
      <c r="Q34" s="22"/>
    </row>
    <row r="35" spans="1:17" ht="18">
      <c r="A35" s="41">
        <v>28</v>
      </c>
      <c r="B35" s="133" t="s">
        <v>455</v>
      </c>
      <c r="C35" s="171" t="s">
        <v>27</v>
      </c>
      <c r="D35" s="162" t="str">
        <f t="shared" si="0"/>
        <v>TC</v>
      </c>
      <c r="E35" s="41" t="s">
        <v>27</v>
      </c>
      <c r="F35" s="12" t="str">
        <f t="shared" si="1"/>
        <v>TC</v>
      </c>
      <c r="G35" s="172" t="s">
        <v>27</v>
      </c>
      <c r="H35" s="12" t="str">
        <f t="shared" si="2"/>
        <v>TC</v>
      </c>
      <c r="I35" s="33" t="s">
        <v>27</v>
      </c>
      <c r="J35" s="12" t="str">
        <f t="shared" si="8"/>
        <v>TC</v>
      </c>
      <c r="K35" s="7"/>
      <c r="L35" s="162" t="str">
        <f t="shared" si="4"/>
        <v/>
      </c>
      <c r="M35" s="165"/>
      <c r="N35" s="12" t="str">
        <f t="shared" si="5"/>
        <v/>
      </c>
      <c r="O35" s="12">
        <f t="shared" si="6"/>
        <v>0</v>
      </c>
      <c r="P35" s="17">
        <f t="shared" si="7"/>
        <v>0</v>
      </c>
      <c r="Q35" s="22"/>
    </row>
    <row r="36" spans="1:17" ht="18">
      <c r="A36" s="41">
        <v>29</v>
      </c>
      <c r="B36" s="133" t="s">
        <v>456</v>
      </c>
      <c r="C36" s="164">
        <v>24</v>
      </c>
      <c r="D36" s="12">
        <f t="shared" si="0"/>
        <v>60</v>
      </c>
      <c r="E36" s="41">
        <v>27</v>
      </c>
      <c r="F36" s="12">
        <f t="shared" si="1"/>
        <v>67.5</v>
      </c>
      <c r="G36" s="7">
        <v>14</v>
      </c>
      <c r="H36" s="70">
        <f t="shared" si="2"/>
        <v>35</v>
      </c>
      <c r="I36" s="33">
        <v>7</v>
      </c>
      <c r="J36" s="12">
        <f t="shared" si="8"/>
        <v>17.5</v>
      </c>
      <c r="K36" s="7">
        <v>16</v>
      </c>
      <c r="L36" s="162">
        <f t="shared" si="4"/>
        <v>40</v>
      </c>
      <c r="M36" s="165">
        <v>18</v>
      </c>
      <c r="N36" s="12">
        <f t="shared" si="5"/>
        <v>45</v>
      </c>
      <c r="O36" s="12">
        <f t="shared" si="6"/>
        <v>265</v>
      </c>
      <c r="P36" s="17">
        <f t="shared" si="7"/>
        <v>44.166666666666664</v>
      </c>
      <c r="Q36" s="22"/>
    </row>
    <row r="37" spans="1:17" ht="18">
      <c r="A37" s="41">
        <v>30</v>
      </c>
      <c r="B37" s="133" t="s">
        <v>457</v>
      </c>
      <c r="C37" s="164">
        <v>22</v>
      </c>
      <c r="D37" s="12">
        <f t="shared" si="0"/>
        <v>55.000000000000007</v>
      </c>
      <c r="E37" s="41">
        <v>24</v>
      </c>
      <c r="F37" s="12">
        <f t="shared" si="1"/>
        <v>60</v>
      </c>
      <c r="G37" s="7">
        <v>23</v>
      </c>
      <c r="H37" s="70">
        <f t="shared" si="2"/>
        <v>57.499999999999993</v>
      </c>
      <c r="I37" s="33">
        <v>20</v>
      </c>
      <c r="J37" s="12">
        <f t="shared" si="8"/>
        <v>50</v>
      </c>
      <c r="K37" s="7">
        <v>14</v>
      </c>
      <c r="L37" s="162">
        <f t="shared" si="4"/>
        <v>35</v>
      </c>
      <c r="M37" s="165">
        <v>15</v>
      </c>
      <c r="N37" s="12">
        <f t="shared" si="5"/>
        <v>37.5</v>
      </c>
      <c r="O37" s="12">
        <f t="shared" si="6"/>
        <v>295</v>
      </c>
      <c r="P37" s="17">
        <f t="shared" si="7"/>
        <v>49.166666666666664</v>
      </c>
      <c r="Q37" s="22"/>
    </row>
    <row r="38" spans="1:17" ht="18">
      <c r="A38" s="41">
        <v>31</v>
      </c>
      <c r="B38" s="133" t="s">
        <v>458</v>
      </c>
      <c r="C38" s="164">
        <v>14</v>
      </c>
      <c r="D38" s="12">
        <f t="shared" si="0"/>
        <v>35</v>
      </c>
      <c r="E38" s="41">
        <v>7</v>
      </c>
      <c r="F38" s="12">
        <f t="shared" si="1"/>
        <v>17.5</v>
      </c>
      <c r="G38" s="7">
        <v>23</v>
      </c>
      <c r="H38" s="12">
        <f t="shared" si="2"/>
        <v>57.499999999999993</v>
      </c>
      <c r="I38" s="33">
        <v>5</v>
      </c>
      <c r="J38" s="12">
        <f t="shared" si="8"/>
        <v>12.5</v>
      </c>
      <c r="K38" s="7">
        <v>13</v>
      </c>
      <c r="L38" s="162">
        <f t="shared" si="4"/>
        <v>32.5</v>
      </c>
      <c r="M38" s="165">
        <v>10</v>
      </c>
      <c r="N38" s="12">
        <f t="shared" si="5"/>
        <v>25</v>
      </c>
      <c r="O38" s="12">
        <f t="shared" si="6"/>
        <v>180</v>
      </c>
      <c r="P38" s="17">
        <f t="shared" si="7"/>
        <v>30</v>
      </c>
      <c r="Q38" s="22"/>
    </row>
    <row r="39" spans="1:17" ht="18">
      <c r="A39" s="41">
        <v>32</v>
      </c>
      <c r="B39" s="133" t="s">
        <v>459</v>
      </c>
      <c r="C39" s="164">
        <v>26</v>
      </c>
      <c r="D39" s="12">
        <f t="shared" si="0"/>
        <v>65</v>
      </c>
      <c r="E39" s="41">
        <v>27</v>
      </c>
      <c r="F39" s="12">
        <f t="shared" si="1"/>
        <v>67.5</v>
      </c>
      <c r="G39" s="7">
        <v>35</v>
      </c>
      <c r="H39" s="12">
        <f t="shared" si="2"/>
        <v>87.5</v>
      </c>
      <c r="I39" s="33">
        <v>22</v>
      </c>
      <c r="J39" s="12">
        <f t="shared" si="8"/>
        <v>55.000000000000007</v>
      </c>
      <c r="K39" s="7">
        <v>25</v>
      </c>
      <c r="L39" s="162">
        <f t="shared" si="4"/>
        <v>62.5</v>
      </c>
      <c r="M39" s="165">
        <v>34</v>
      </c>
      <c r="N39" s="12">
        <f t="shared" si="5"/>
        <v>85</v>
      </c>
      <c r="O39" s="12">
        <f t="shared" si="6"/>
        <v>422.5</v>
      </c>
      <c r="P39" s="17">
        <f t="shared" si="7"/>
        <v>70.416666666666671</v>
      </c>
      <c r="Q39" s="22"/>
    </row>
    <row r="40" spans="1:17" ht="18">
      <c r="A40" s="41">
        <v>33</v>
      </c>
      <c r="B40" s="133" t="s">
        <v>460</v>
      </c>
      <c r="C40" s="164">
        <v>34</v>
      </c>
      <c r="D40" s="12">
        <f t="shared" si="0"/>
        <v>85</v>
      </c>
      <c r="E40" s="41">
        <v>32</v>
      </c>
      <c r="F40" s="12">
        <f t="shared" si="1"/>
        <v>80</v>
      </c>
      <c r="G40" s="7">
        <v>27</v>
      </c>
      <c r="H40" s="12">
        <f t="shared" si="2"/>
        <v>67.5</v>
      </c>
      <c r="I40" s="33">
        <v>32</v>
      </c>
      <c r="J40" s="12">
        <f t="shared" si="8"/>
        <v>80</v>
      </c>
      <c r="K40" s="7">
        <v>31</v>
      </c>
      <c r="L40" s="162">
        <f t="shared" si="4"/>
        <v>77.5</v>
      </c>
      <c r="M40" s="165">
        <v>22</v>
      </c>
      <c r="N40" s="12">
        <f t="shared" si="5"/>
        <v>55.000000000000007</v>
      </c>
      <c r="O40" s="12">
        <f t="shared" si="6"/>
        <v>445</v>
      </c>
      <c r="P40" s="17">
        <f t="shared" si="7"/>
        <v>74.166666666666671</v>
      </c>
      <c r="Q40" s="22"/>
    </row>
    <row r="41" spans="1:17" ht="18">
      <c r="A41" s="41">
        <v>34</v>
      </c>
      <c r="B41" s="133" t="s">
        <v>461</v>
      </c>
      <c r="C41" s="164">
        <v>30</v>
      </c>
      <c r="D41" s="12">
        <f t="shared" si="0"/>
        <v>75</v>
      </c>
      <c r="E41" s="41">
        <v>26</v>
      </c>
      <c r="F41" s="12">
        <f t="shared" si="1"/>
        <v>65</v>
      </c>
      <c r="G41" s="7">
        <v>26</v>
      </c>
      <c r="H41" s="12">
        <f t="shared" si="2"/>
        <v>65</v>
      </c>
      <c r="I41" s="33" t="s">
        <v>24</v>
      </c>
      <c r="J41" s="12" t="e">
        <f t="shared" si="8"/>
        <v>#NAME?</v>
      </c>
      <c r="K41" s="7">
        <v>24</v>
      </c>
      <c r="L41" s="162">
        <f t="shared" si="4"/>
        <v>60</v>
      </c>
      <c r="M41" s="165" t="s">
        <v>24</v>
      </c>
      <c r="N41" s="12" t="e">
        <f t="shared" si="5"/>
        <v>#NAME?</v>
      </c>
      <c r="O41" s="12" t="e">
        <f t="shared" si="6"/>
        <v>#NAME?</v>
      </c>
      <c r="P41" s="17" t="e">
        <f t="shared" si="7"/>
        <v>#NAME?</v>
      </c>
      <c r="Q41" s="22"/>
    </row>
    <row r="42" spans="1:17" ht="18">
      <c r="A42" s="41">
        <v>35</v>
      </c>
      <c r="B42" s="133" t="s">
        <v>462</v>
      </c>
      <c r="C42" s="164">
        <v>32</v>
      </c>
      <c r="D42" s="12">
        <f t="shared" si="0"/>
        <v>80</v>
      </c>
      <c r="E42" s="41">
        <v>39</v>
      </c>
      <c r="F42" s="12">
        <f t="shared" si="1"/>
        <v>97.5</v>
      </c>
      <c r="G42" s="7">
        <v>32</v>
      </c>
      <c r="H42" s="12">
        <f t="shared" si="2"/>
        <v>80</v>
      </c>
      <c r="I42" s="33">
        <v>31</v>
      </c>
      <c r="J42" s="12">
        <f t="shared" si="8"/>
        <v>77.5</v>
      </c>
      <c r="K42" s="7">
        <v>33</v>
      </c>
      <c r="L42" s="162">
        <f t="shared" si="4"/>
        <v>82.5</v>
      </c>
      <c r="M42" s="165">
        <v>38</v>
      </c>
      <c r="N42" s="12">
        <f t="shared" si="5"/>
        <v>95</v>
      </c>
      <c r="O42" s="12">
        <f t="shared" si="6"/>
        <v>512.5</v>
      </c>
      <c r="P42" s="17">
        <f t="shared" si="7"/>
        <v>85.416666666666657</v>
      </c>
      <c r="Q42" s="22"/>
    </row>
    <row r="43" spans="1:17" ht="18">
      <c r="A43" s="41">
        <v>36</v>
      </c>
      <c r="B43" s="133" t="s">
        <v>463</v>
      </c>
      <c r="C43" s="164">
        <v>24</v>
      </c>
      <c r="D43" s="12">
        <f t="shared" si="0"/>
        <v>60</v>
      </c>
      <c r="E43" s="41">
        <v>25</v>
      </c>
      <c r="F43" s="12">
        <f t="shared" si="1"/>
        <v>62.5</v>
      </c>
      <c r="G43" s="7">
        <v>15</v>
      </c>
      <c r="H43" s="70">
        <f t="shared" si="2"/>
        <v>37.5</v>
      </c>
      <c r="I43" s="33">
        <v>8</v>
      </c>
      <c r="J43" s="70">
        <f t="shared" si="8"/>
        <v>20</v>
      </c>
      <c r="K43" s="7">
        <v>15</v>
      </c>
      <c r="L43" s="162">
        <f t="shared" si="4"/>
        <v>37.5</v>
      </c>
      <c r="M43" s="165">
        <v>10</v>
      </c>
      <c r="N43" s="12">
        <f t="shared" si="5"/>
        <v>25</v>
      </c>
      <c r="O43" s="12">
        <f t="shared" si="6"/>
        <v>242.5</v>
      </c>
      <c r="P43" s="17">
        <f t="shared" si="7"/>
        <v>40.416666666666664</v>
      </c>
      <c r="Q43" s="22"/>
    </row>
    <row r="44" spans="1:17" ht="18">
      <c r="A44" s="41">
        <v>37</v>
      </c>
      <c r="B44" s="133" t="s">
        <v>464</v>
      </c>
      <c r="C44" s="164">
        <v>34</v>
      </c>
      <c r="D44" s="12">
        <f t="shared" si="0"/>
        <v>85</v>
      </c>
      <c r="E44" s="41">
        <v>35</v>
      </c>
      <c r="F44" s="12">
        <f t="shared" si="1"/>
        <v>87.5</v>
      </c>
      <c r="G44" s="7">
        <v>15</v>
      </c>
      <c r="H44" s="12">
        <f t="shared" si="2"/>
        <v>37.5</v>
      </c>
      <c r="I44" s="33">
        <v>19</v>
      </c>
      <c r="J44" s="12">
        <f t="shared" si="8"/>
        <v>47.5</v>
      </c>
      <c r="K44" s="7">
        <v>20</v>
      </c>
      <c r="L44" s="162">
        <f t="shared" si="4"/>
        <v>50</v>
      </c>
      <c r="M44" s="165">
        <v>14</v>
      </c>
      <c r="N44" s="12">
        <f t="shared" si="5"/>
        <v>35</v>
      </c>
      <c r="O44" s="12">
        <f t="shared" si="6"/>
        <v>342.5</v>
      </c>
      <c r="P44" s="17">
        <f t="shared" si="7"/>
        <v>57.083333333333329</v>
      </c>
      <c r="Q44" s="22"/>
    </row>
    <row r="45" spans="1:17" ht="18">
      <c r="A45" s="41">
        <v>38</v>
      </c>
      <c r="B45" s="133" t="s">
        <v>465</v>
      </c>
      <c r="C45" s="164">
        <v>18</v>
      </c>
      <c r="D45" s="12">
        <f t="shared" si="0"/>
        <v>45</v>
      </c>
      <c r="E45" s="41">
        <v>15</v>
      </c>
      <c r="F45" s="12">
        <f t="shared" si="1"/>
        <v>37.5</v>
      </c>
      <c r="G45" s="7">
        <v>14</v>
      </c>
      <c r="H45" s="12">
        <f t="shared" si="2"/>
        <v>35</v>
      </c>
      <c r="I45" s="33" t="s">
        <v>24</v>
      </c>
      <c r="J45" s="12" t="e">
        <f t="shared" si="8"/>
        <v>#NAME?</v>
      </c>
      <c r="K45" s="7">
        <v>15</v>
      </c>
      <c r="L45" s="162">
        <f t="shared" si="4"/>
        <v>37.5</v>
      </c>
      <c r="M45" s="165">
        <v>14</v>
      </c>
      <c r="N45" s="12">
        <f t="shared" si="5"/>
        <v>35</v>
      </c>
      <c r="O45" s="12" t="e">
        <f t="shared" si="6"/>
        <v>#NAME?</v>
      </c>
      <c r="P45" s="17" t="e">
        <f t="shared" si="7"/>
        <v>#NAME?</v>
      </c>
      <c r="Q45" s="22"/>
    </row>
    <row r="46" spans="1:17" ht="18">
      <c r="A46" s="41">
        <v>39</v>
      </c>
      <c r="B46" s="133" t="s">
        <v>466</v>
      </c>
      <c r="C46" s="164">
        <v>24</v>
      </c>
      <c r="D46" s="12">
        <f t="shared" si="0"/>
        <v>60</v>
      </c>
      <c r="E46" s="41">
        <v>24</v>
      </c>
      <c r="F46" s="12">
        <f t="shared" si="1"/>
        <v>60</v>
      </c>
      <c r="G46" s="7">
        <v>16</v>
      </c>
      <c r="H46" s="12">
        <f t="shared" si="2"/>
        <v>40</v>
      </c>
      <c r="I46" s="33">
        <v>8</v>
      </c>
      <c r="J46" s="12">
        <f t="shared" si="8"/>
        <v>20</v>
      </c>
      <c r="K46" s="7">
        <v>14</v>
      </c>
      <c r="L46" s="162">
        <f t="shared" si="4"/>
        <v>35</v>
      </c>
      <c r="M46" s="165">
        <v>14</v>
      </c>
      <c r="N46" s="12">
        <f t="shared" si="5"/>
        <v>35</v>
      </c>
      <c r="O46" s="12">
        <f t="shared" si="6"/>
        <v>250</v>
      </c>
      <c r="P46" s="17">
        <f t="shared" si="7"/>
        <v>41.666666666666671</v>
      </c>
      <c r="Q46" s="22"/>
    </row>
    <row r="47" spans="1:17" ht="18">
      <c r="A47" s="41">
        <v>40</v>
      </c>
      <c r="B47" s="173" t="s">
        <v>467</v>
      </c>
      <c r="C47" s="164">
        <v>29</v>
      </c>
      <c r="D47" s="12">
        <f t="shared" si="0"/>
        <v>72.5</v>
      </c>
      <c r="E47" s="41">
        <v>28</v>
      </c>
      <c r="F47" s="12">
        <f t="shared" si="1"/>
        <v>70</v>
      </c>
      <c r="G47" s="7">
        <v>31</v>
      </c>
      <c r="H47" s="12">
        <f t="shared" si="2"/>
        <v>77.5</v>
      </c>
      <c r="I47" s="33">
        <v>23</v>
      </c>
      <c r="J47" s="12">
        <f t="shared" si="8"/>
        <v>57.499999999999993</v>
      </c>
      <c r="K47" s="7">
        <v>27</v>
      </c>
      <c r="L47" s="162">
        <f t="shared" si="4"/>
        <v>67.5</v>
      </c>
      <c r="M47" s="165">
        <v>24</v>
      </c>
      <c r="N47" s="12">
        <f t="shared" si="5"/>
        <v>60</v>
      </c>
      <c r="O47" s="12">
        <f t="shared" si="6"/>
        <v>405</v>
      </c>
      <c r="P47" s="17">
        <f t="shared" si="7"/>
        <v>67.5</v>
      </c>
      <c r="Q47" s="22"/>
    </row>
    <row r="48" spans="1:17" ht="18">
      <c r="A48" s="86">
        <v>41</v>
      </c>
      <c r="B48" s="173" t="s">
        <v>468</v>
      </c>
      <c r="C48" s="164" t="s">
        <v>27</v>
      </c>
      <c r="D48" s="12" t="str">
        <f t="shared" si="0"/>
        <v>TC</v>
      </c>
      <c r="E48" s="41" t="s">
        <v>27</v>
      </c>
      <c r="F48" s="12" t="str">
        <f t="shared" si="1"/>
        <v>TC</v>
      </c>
      <c r="G48" s="172" t="s">
        <v>27</v>
      </c>
      <c r="H48" s="12" t="str">
        <f t="shared" si="2"/>
        <v>TC</v>
      </c>
      <c r="I48" s="33" t="s">
        <v>27</v>
      </c>
      <c r="J48" s="12" t="str">
        <f t="shared" si="8"/>
        <v>TC</v>
      </c>
      <c r="K48" s="7"/>
      <c r="L48" s="162" t="str">
        <f t="shared" si="4"/>
        <v/>
      </c>
      <c r="M48" s="174"/>
      <c r="N48" s="12" t="str">
        <f t="shared" si="5"/>
        <v/>
      </c>
      <c r="O48" s="12">
        <f t="shared" si="6"/>
        <v>0</v>
      </c>
      <c r="P48" s="17">
        <f t="shared" si="7"/>
        <v>0</v>
      </c>
      <c r="Q48" s="22"/>
    </row>
    <row r="49" spans="1:17" ht="18">
      <c r="A49" s="86">
        <v>42</v>
      </c>
      <c r="B49" s="18"/>
      <c r="C49" s="18"/>
      <c r="D49" s="37" t="str">
        <f t="shared" si="0"/>
        <v/>
      </c>
      <c r="E49" s="22"/>
      <c r="F49" s="12" t="str">
        <f t="shared" si="1"/>
        <v/>
      </c>
      <c r="G49" s="18"/>
      <c r="H49" s="38"/>
      <c r="I49" s="35"/>
      <c r="J49" s="40"/>
      <c r="K49" s="18"/>
      <c r="L49" s="162" t="str">
        <f t="shared" si="4"/>
        <v/>
      </c>
      <c r="M49" s="38"/>
      <c r="N49" s="37"/>
      <c r="O49" s="37"/>
      <c r="P49" s="39"/>
      <c r="Q49" s="22"/>
    </row>
    <row r="50" spans="1:17" ht="18">
      <c r="A50" s="86">
        <v>43</v>
      </c>
      <c r="B50" s="18"/>
      <c r="C50" s="18"/>
      <c r="D50" s="37" t="s">
        <v>469</v>
      </c>
      <c r="E50" s="22"/>
      <c r="F50" s="37" t="s">
        <v>469</v>
      </c>
      <c r="G50" s="18"/>
      <c r="H50" s="38"/>
      <c r="I50" s="22"/>
      <c r="J50" s="40"/>
      <c r="K50" s="22"/>
      <c r="L50" s="162" t="str">
        <f t="shared" si="4"/>
        <v/>
      </c>
      <c r="M50" s="38"/>
      <c r="N50" s="37"/>
      <c r="O50" s="37"/>
      <c r="P50" s="39"/>
      <c r="Q50" s="22"/>
    </row>
    <row r="51" spans="1:17" ht="18">
      <c r="A51" s="86">
        <v>44</v>
      </c>
      <c r="B51" s="22"/>
      <c r="C51" s="22"/>
      <c r="D51" s="37" t="str">
        <f t="shared" ref="D51:D59" si="9">IF(C51="","",IF(C51="AB",AB,IF(C51="TC","TC",(C51/D$6)*100)))</f>
        <v/>
      </c>
      <c r="E51" s="22"/>
      <c r="F51" s="37" t="str">
        <f t="shared" ref="F51:F59" si="10">IF(E51="","",IF(E51="AB",AB,IF(E51="TC","TC",(E51/F$6)*100)))</f>
        <v/>
      </c>
      <c r="G51" s="22"/>
      <c r="H51" s="38"/>
      <c r="I51" s="22"/>
      <c r="J51" s="40"/>
      <c r="K51" s="22"/>
      <c r="L51" s="37"/>
      <c r="M51" s="37"/>
      <c r="N51" s="37"/>
      <c r="O51" s="37"/>
      <c r="P51" s="39"/>
      <c r="Q51" s="22"/>
    </row>
    <row r="52" spans="1:17" ht="18">
      <c r="A52" s="86">
        <v>45</v>
      </c>
      <c r="B52" s="22"/>
      <c r="C52" s="22"/>
      <c r="D52" s="37" t="str">
        <f t="shared" si="9"/>
        <v/>
      </c>
      <c r="E52" s="22"/>
      <c r="F52" s="37" t="str">
        <f t="shared" si="10"/>
        <v/>
      </c>
      <c r="G52" s="22"/>
      <c r="H52" s="38"/>
      <c r="I52" s="22"/>
      <c r="J52" s="40"/>
      <c r="K52" s="22"/>
      <c r="L52" s="37"/>
      <c r="M52" s="37"/>
      <c r="N52" s="37"/>
      <c r="O52" s="37"/>
      <c r="P52" s="39"/>
      <c r="Q52" s="22"/>
    </row>
    <row r="53" spans="1:17" ht="18">
      <c r="A53" s="86">
        <v>46</v>
      </c>
      <c r="B53" s="22"/>
      <c r="C53" s="22"/>
      <c r="D53" s="37" t="str">
        <f t="shared" si="9"/>
        <v/>
      </c>
      <c r="E53" s="22"/>
      <c r="F53" s="37" t="str">
        <f t="shared" si="10"/>
        <v/>
      </c>
      <c r="G53" s="22"/>
      <c r="H53" s="38"/>
      <c r="I53" s="22"/>
      <c r="J53" s="40"/>
      <c r="K53" s="22"/>
      <c r="L53" s="37"/>
      <c r="M53" s="37"/>
      <c r="N53" s="37"/>
      <c r="O53" s="37"/>
      <c r="P53" s="39"/>
      <c r="Q53" s="22"/>
    </row>
    <row r="54" spans="1:17" ht="18">
      <c r="A54" s="86">
        <v>47</v>
      </c>
      <c r="B54" s="22"/>
      <c r="C54" s="37"/>
      <c r="D54" s="37" t="str">
        <f t="shared" si="9"/>
        <v/>
      </c>
      <c r="E54" s="37"/>
      <c r="F54" s="37" t="str">
        <f t="shared" si="10"/>
        <v/>
      </c>
      <c r="G54" s="38"/>
      <c r="H54" s="38"/>
      <c r="I54" s="22"/>
      <c r="J54" s="40"/>
      <c r="K54" s="37"/>
      <c r="L54" s="37"/>
      <c r="M54" s="37"/>
      <c r="N54" s="37"/>
      <c r="O54" s="37"/>
      <c r="P54" s="39"/>
      <c r="Q54" s="22"/>
    </row>
    <row r="55" spans="1:17" ht="18">
      <c r="A55" s="86">
        <v>48</v>
      </c>
      <c r="B55" s="22"/>
      <c r="C55" s="37"/>
      <c r="D55" s="37" t="str">
        <f t="shared" si="9"/>
        <v/>
      </c>
      <c r="E55" s="37"/>
      <c r="F55" s="37" t="str">
        <f t="shared" si="10"/>
        <v/>
      </c>
      <c r="G55" s="38"/>
      <c r="H55" s="38"/>
      <c r="I55" s="22"/>
      <c r="J55" s="40"/>
      <c r="K55" s="37"/>
      <c r="L55" s="37"/>
      <c r="M55" s="37"/>
      <c r="N55" s="37"/>
      <c r="O55" s="37"/>
      <c r="P55" s="39"/>
      <c r="Q55" s="22"/>
    </row>
    <row r="56" spans="1:17" ht="18">
      <c r="A56" s="86">
        <v>49</v>
      </c>
      <c r="B56" s="22"/>
      <c r="C56" s="37"/>
      <c r="D56" s="37" t="str">
        <f t="shared" si="9"/>
        <v/>
      </c>
      <c r="E56" s="37"/>
      <c r="F56" s="37" t="str">
        <f t="shared" si="10"/>
        <v/>
      </c>
      <c r="G56" s="38"/>
      <c r="H56" s="38"/>
      <c r="I56" s="22"/>
      <c r="J56" s="40"/>
      <c r="K56" s="37"/>
      <c r="L56" s="37"/>
      <c r="M56" s="37"/>
      <c r="N56" s="37"/>
      <c r="O56" s="37"/>
      <c r="P56" s="39"/>
      <c r="Q56" s="22"/>
    </row>
    <row r="57" spans="1:17" ht="18">
      <c r="A57" s="86">
        <v>50</v>
      </c>
      <c r="B57" s="22"/>
      <c r="C57" s="37"/>
      <c r="D57" s="37" t="str">
        <f t="shared" si="9"/>
        <v/>
      </c>
      <c r="E57" s="37"/>
      <c r="F57" s="37" t="str">
        <f t="shared" si="10"/>
        <v/>
      </c>
      <c r="G57" s="38"/>
      <c r="H57" s="38"/>
      <c r="I57" s="22"/>
      <c r="J57" s="40"/>
      <c r="K57" s="37"/>
      <c r="L57" s="37"/>
      <c r="M57" s="37"/>
      <c r="N57" s="37"/>
      <c r="O57" s="37"/>
      <c r="P57" s="39"/>
      <c r="Q57" s="22"/>
    </row>
    <row r="58" spans="1:17" ht="18">
      <c r="A58" s="86">
        <v>51</v>
      </c>
      <c r="B58" s="22"/>
      <c r="C58" s="37"/>
      <c r="D58" s="37" t="str">
        <f t="shared" si="9"/>
        <v/>
      </c>
      <c r="E58" s="37"/>
      <c r="F58" s="37" t="str">
        <f t="shared" si="10"/>
        <v/>
      </c>
      <c r="G58" s="38"/>
      <c r="H58" s="38"/>
      <c r="I58" s="22"/>
      <c r="J58" s="40"/>
      <c r="K58" s="37"/>
      <c r="L58" s="37"/>
      <c r="M58" s="37"/>
      <c r="N58" s="37"/>
      <c r="O58" s="37"/>
      <c r="P58" s="39"/>
      <c r="Q58" s="22"/>
    </row>
    <row r="59" spans="1:17" ht="18">
      <c r="A59" s="361" t="s">
        <v>70</v>
      </c>
      <c r="B59" s="362"/>
      <c r="C59" s="42">
        <f>IF(C62=0,"",SUM(C8:C58)/C62)</f>
        <v>28.894736842105264</v>
      </c>
      <c r="D59" s="12">
        <f t="shared" si="9"/>
        <v>72.23684210526315</v>
      </c>
      <c r="E59" s="42">
        <f>IF(E62=0,"",SUM(E8:E58)/E62)</f>
        <v>29</v>
      </c>
      <c r="F59" s="42">
        <f t="shared" si="10"/>
        <v>72.5</v>
      </c>
      <c r="G59" s="42">
        <f>IF(G62=0,"",SUM(G8:G58)/G62)</f>
        <v>27</v>
      </c>
      <c r="H59" s="42">
        <f>IF(G59="","",IF(G59="AB",AB,IF(G59="TC","TC",(G59/H$6)*100)))</f>
        <v>67.5</v>
      </c>
      <c r="I59" s="42">
        <f>IF(I62=0,"",SUM(I8:I58)/I62)</f>
        <v>22.8</v>
      </c>
      <c r="J59" s="42">
        <f>IF(I59="","",IF(I59="AB",AB,IF(I59="TC","TC",(I59/J$6)*100)))</f>
        <v>57.000000000000007</v>
      </c>
      <c r="K59" s="42">
        <f>IF(K62=0,"",SUM(K8:K58)/K62)</f>
        <v>24.888888888888889</v>
      </c>
      <c r="L59" s="42">
        <f>IF(K59="","",IF(K59="AB",AB,IF(K59="TC","TC",(K59/L$6)*100)))</f>
        <v>62.222222222222221</v>
      </c>
      <c r="M59" s="42">
        <f>IF(M62=0,"",SUM(M8:M58)/M62)</f>
        <v>27.081081081081081</v>
      </c>
      <c r="N59" s="42">
        <f>IF(M59="","",IF(M59="AB",AB,IF(M59="TC","TC",(M59/N$6)*100)))</f>
        <v>67.702702702702695</v>
      </c>
      <c r="O59" s="42" t="e">
        <f>IF(O62=0,"",SUM(O8:O58)/O62)</f>
        <v>#NAME?</v>
      </c>
      <c r="P59" s="42" t="e">
        <f>IF(O62=0,"",SUM(P8:P58)/O62)</f>
        <v>#NAME?</v>
      </c>
      <c r="Q59" s="39"/>
    </row>
    <row r="60" spans="1:17" ht="17.399999999999999">
      <c r="A60" s="387" t="s">
        <v>71</v>
      </c>
      <c r="B60" s="107" t="s">
        <v>72</v>
      </c>
      <c r="C60" s="359">
        <f>COUNTA(C8:C58)</f>
        <v>40</v>
      </c>
      <c r="D60" s="360"/>
      <c r="E60" s="359">
        <f>COUNTA(E8:E58)</f>
        <v>41</v>
      </c>
      <c r="F60" s="360"/>
      <c r="G60" s="359">
        <f>COUNTA(G8:G58)</f>
        <v>41</v>
      </c>
      <c r="H60" s="360"/>
      <c r="I60" s="359">
        <v>39</v>
      </c>
      <c r="J60" s="360"/>
      <c r="K60" s="359">
        <f>COUNTA(K8:K58)</f>
        <v>36</v>
      </c>
      <c r="L60" s="360"/>
      <c r="M60" s="359">
        <f>COUNTA(M8:M58)</f>
        <v>39</v>
      </c>
      <c r="N60" s="360"/>
      <c r="O60" s="359" t="s">
        <v>15</v>
      </c>
      <c r="P60" s="378"/>
      <c r="Q60" s="360"/>
    </row>
    <row r="61" spans="1:17" ht="17.399999999999999">
      <c r="A61" s="381"/>
      <c r="B61" s="45" t="s">
        <v>73</v>
      </c>
      <c r="C61" s="361">
        <f>C60-C62</f>
        <v>2</v>
      </c>
      <c r="D61" s="362"/>
      <c r="E61" s="361">
        <f>E60-E62</f>
        <v>3</v>
      </c>
      <c r="F61" s="362"/>
      <c r="G61" s="361">
        <f>G60-G62</f>
        <v>3</v>
      </c>
      <c r="H61" s="362"/>
      <c r="I61" s="361">
        <f>I60-I62</f>
        <v>4</v>
      </c>
      <c r="J61" s="362"/>
      <c r="K61" s="361">
        <f>K60-K62</f>
        <v>0</v>
      </c>
      <c r="L61" s="362"/>
      <c r="M61" s="361">
        <f>M60-M62</f>
        <v>2</v>
      </c>
      <c r="N61" s="362"/>
      <c r="O61" s="361">
        <f>COUNTIF(R8:R58,0)</f>
        <v>0</v>
      </c>
      <c r="P61" s="364"/>
      <c r="Q61" s="362"/>
    </row>
    <row r="62" spans="1:17" ht="17.399999999999999">
      <c r="A62" s="381"/>
      <c r="B62" s="46" t="s">
        <v>74</v>
      </c>
      <c r="C62" s="361">
        <f>COUNTIFS(D8:D58,"&gt;0")</f>
        <v>38</v>
      </c>
      <c r="D62" s="362"/>
      <c r="E62" s="361">
        <f>COUNTIFS(F8:F58,"&gt;0")</f>
        <v>38</v>
      </c>
      <c r="F62" s="362"/>
      <c r="G62" s="361">
        <f>COUNTIFS(H8:H58,"&gt;0")</f>
        <v>38</v>
      </c>
      <c r="H62" s="362"/>
      <c r="I62" s="361">
        <f>COUNTIFS(J8:J58,"&gt;0")</f>
        <v>35</v>
      </c>
      <c r="J62" s="362"/>
      <c r="K62" s="361">
        <f>COUNTIFS(L8:L58,"&gt;0")</f>
        <v>36</v>
      </c>
      <c r="L62" s="362"/>
      <c r="M62" s="361">
        <f>COUNTIFS(N8:N58,"&gt;0")</f>
        <v>37</v>
      </c>
      <c r="N62" s="362"/>
      <c r="O62" s="361">
        <f>COUNTIFS(P8:P58,"&gt;0")</f>
        <v>36</v>
      </c>
      <c r="P62" s="364"/>
      <c r="Q62" s="362"/>
    </row>
    <row r="63" spans="1:17" ht="17.399999999999999">
      <c r="A63" s="381"/>
      <c r="B63" s="46" t="s">
        <v>75</v>
      </c>
      <c r="C63" s="361">
        <f>C62-C65</f>
        <v>38</v>
      </c>
      <c r="D63" s="362"/>
      <c r="E63" s="361">
        <f>E62-E65</f>
        <v>37</v>
      </c>
      <c r="F63" s="362"/>
      <c r="G63" s="361">
        <f>G62-G65</f>
        <v>38</v>
      </c>
      <c r="H63" s="362"/>
      <c r="I63" s="361">
        <f>I62-I65</f>
        <v>31</v>
      </c>
      <c r="J63" s="362"/>
      <c r="K63" s="361">
        <f>K62-K65</f>
        <v>36</v>
      </c>
      <c r="L63" s="362"/>
      <c r="M63" s="361">
        <f>M62-M65</f>
        <v>35</v>
      </c>
      <c r="N63" s="362"/>
      <c r="O63" s="361">
        <f>COUNTIF(Q8:Q58,"PASS")</f>
        <v>0</v>
      </c>
      <c r="P63" s="364"/>
      <c r="Q63" s="362"/>
    </row>
    <row r="64" spans="1:17" ht="17.399999999999999">
      <c r="A64" s="381"/>
      <c r="B64" s="46" t="s">
        <v>76</v>
      </c>
      <c r="C64" s="363">
        <f>IF(C62=0,"",(C63/C62)*100)</f>
        <v>100</v>
      </c>
      <c r="D64" s="362"/>
      <c r="E64" s="363">
        <f>IF(E62=0,"",(E63/E62)*100)</f>
        <v>97.368421052631575</v>
      </c>
      <c r="F64" s="362"/>
      <c r="G64" s="363">
        <f>IF(G62=0,"",(G63/G62)*100)</f>
        <v>100</v>
      </c>
      <c r="H64" s="362"/>
      <c r="I64" s="363">
        <f>IF(I62=0,"",(I63/I62)*100)</f>
        <v>88.571428571428569</v>
      </c>
      <c r="J64" s="362"/>
      <c r="K64" s="363">
        <f>IF(K62=0,"",(K63/K62)*100)</f>
        <v>100</v>
      </c>
      <c r="L64" s="362"/>
      <c r="M64" s="363">
        <f>IF(M62=0,"",(M63/M62)*100)</f>
        <v>94.594594594594597</v>
      </c>
      <c r="N64" s="362"/>
      <c r="O64" s="363">
        <f>IF(O62=0,"",(O63/O62)*100)</f>
        <v>0</v>
      </c>
      <c r="P64" s="362"/>
      <c r="Q64" s="175"/>
    </row>
    <row r="65" spans="1:17" ht="17.399999999999999">
      <c r="A65" s="381"/>
      <c r="B65" s="46" t="s">
        <v>77</v>
      </c>
      <c r="C65" s="361">
        <f>COUNTIFS(D8:D58,"&lt;=32",D8:D58,"&gt; 0")</f>
        <v>0</v>
      </c>
      <c r="D65" s="362"/>
      <c r="E65" s="361">
        <f>COUNTIFS(F8:F58,"&lt;=32",F8:F58,"&gt; 0")</f>
        <v>1</v>
      </c>
      <c r="F65" s="362"/>
      <c r="G65" s="361">
        <f>COUNTIFS(H8:H58,"&lt;=32",H8:H58,"&gt; 0")</f>
        <v>0</v>
      </c>
      <c r="H65" s="362"/>
      <c r="I65" s="361">
        <f>COUNTIFS(J8:J58,"&lt;=32",J8:J58,"&gt; 0")</f>
        <v>4</v>
      </c>
      <c r="J65" s="362"/>
      <c r="K65" s="361">
        <f>COUNTIFS(L8:L58,"&lt;=32",L8:L58,"&gt; 0")</f>
        <v>0</v>
      </c>
      <c r="L65" s="362"/>
      <c r="M65" s="361">
        <f>COUNTIFS(N8:N58,"&lt;=32",N8:N58,"&gt; 0")</f>
        <v>2</v>
      </c>
      <c r="N65" s="362"/>
      <c r="O65" s="361">
        <f>COUNTIFS(P8:P58,"&lt;=32",P8:P58,"&gt; 0")</f>
        <v>1</v>
      </c>
      <c r="P65" s="364"/>
      <c r="Q65" s="362"/>
    </row>
    <row r="66" spans="1:17" ht="17.399999999999999">
      <c r="A66" s="381"/>
      <c r="B66" s="46" t="s">
        <v>78</v>
      </c>
      <c r="C66" s="361">
        <f>COUNTIFS(D8:D58,"&gt;=32.1",D8:D58,"&lt;=44")</f>
        <v>1</v>
      </c>
      <c r="D66" s="362"/>
      <c r="E66" s="361">
        <f>COUNTIFS(F8:F58,"&gt;=32.1",F8:F58,"&lt;=44")</f>
        <v>1</v>
      </c>
      <c r="F66" s="362"/>
      <c r="G66" s="361">
        <f>COUNTIFS(H8:H58,"&gt;=32.1",H8:H58,"&lt;=44")</f>
        <v>8</v>
      </c>
      <c r="H66" s="362"/>
      <c r="I66" s="361">
        <f>COUNTIFS(J8:J58,"&gt;=32.1",J8:J58,"&lt;=44")</f>
        <v>6</v>
      </c>
      <c r="J66" s="362"/>
      <c r="K66" s="361">
        <f>COUNTIFS(L8:L58,"&gt;=32.1",L8:L58,"&lt;=44")</f>
        <v>8</v>
      </c>
      <c r="L66" s="362"/>
      <c r="M66" s="361">
        <f>COUNTIFS(N8:N58,"&gt;=32.1",N8:N58,"&lt;=44")</f>
        <v>4</v>
      </c>
      <c r="N66" s="362"/>
      <c r="O66" s="361">
        <f>COUNTIFS(P8:P58,"&gt;=32.1",P8:P58,"&lt;=44")</f>
        <v>2</v>
      </c>
      <c r="P66" s="364"/>
      <c r="Q66" s="362"/>
    </row>
    <row r="67" spans="1:17" ht="17.399999999999999">
      <c r="A67" s="381"/>
      <c r="B67" s="46" t="s">
        <v>79</v>
      </c>
      <c r="C67" s="361">
        <f>COUNTIFS(D8:D58,"&gt;=44.1",D8:D58,"&lt;=59")</f>
        <v>4</v>
      </c>
      <c r="D67" s="362"/>
      <c r="E67" s="361">
        <f>COUNTIFS(F8:F58,"&gt;=44.1",F8:F58,"&lt;=59")</f>
        <v>3</v>
      </c>
      <c r="F67" s="362"/>
      <c r="G67" s="361">
        <f>COUNTIFS(H8:H58,"&gt;=44.1",H8:H58,"&lt;=59")</f>
        <v>4</v>
      </c>
      <c r="H67" s="362"/>
      <c r="I67" s="361">
        <f>COUNTIFS(J8:J58,"&gt;=44.1",J8:J58,"&lt;=59")</f>
        <v>10</v>
      </c>
      <c r="J67" s="362"/>
      <c r="K67" s="361">
        <f>COUNTIFS(L8:L58,"&gt;=44.1",L8:L58,"&lt;=59")</f>
        <v>5</v>
      </c>
      <c r="L67" s="362"/>
      <c r="M67" s="361">
        <f>COUNTIFS(N8:N58,"&gt;=44.1",N8:N58,"&lt;=59")</f>
        <v>8</v>
      </c>
      <c r="N67" s="362"/>
      <c r="O67" s="361">
        <f>COUNTIFS(P8:P58,"&gt;=44.1",P8:P58,"&lt;=59")</f>
        <v>10</v>
      </c>
      <c r="P67" s="364"/>
      <c r="Q67" s="362"/>
    </row>
    <row r="68" spans="1:17" ht="17.399999999999999">
      <c r="A68" s="381"/>
      <c r="B68" s="46" t="s">
        <v>80</v>
      </c>
      <c r="C68" s="361">
        <f>COUNTIFS(D8:D58,"&gt;=59.1",D8:D58,"&lt;=74")</f>
        <v>13</v>
      </c>
      <c r="D68" s="362"/>
      <c r="E68" s="361">
        <f>COUNTIFS(F8:F58,"&gt;=59.1",F8:F58,"&lt;=74")</f>
        <v>16</v>
      </c>
      <c r="F68" s="362"/>
      <c r="G68" s="361">
        <f>COUNTIFS(H8:H58,"&gt;=59.1",H8:H58,"&lt;=74")</f>
        <v>9</v>
      </c>
      <c r="H68" s="362"/>
      <c r="I68" s="361">
        <f>COUNTIFS(J8:J58,"&gt;=59.1",J8:J58,"&lt;=74")</f>
        <v>5</v>
      </c>
      <c r="J68" s="362"/>
      <c r="K68" s="361">
        <f>COUNTIFS(L8:L58,"&gt;=59.1",L8:L58,"&lt;=74")</f>
        <v>12</v>
      </c>
      <c r="L68" s="362"/>
      <c r="M68" s="361">
        <f>COUNTIFS(N8:N58,"&gt;=59.1",N8:N58,"&lt;=74")</f>
        <v>4</v>
      </c>
      <c r="N68" s="362"/>
      <c r="O68" s="361">
        <f>COUNTIFS(P8:P58,"&gt;=59.1",P8:P58,"&lt;=74")</f>
        <v>8</v>
      </c>
      <c r="P68" s="364"/>
      <c r="Q68" s="362"/>
    </row>
    <row r="69" spans="1:17" ht="17.399999999999999">
      <c r="A69" s="381"/>
      <c r="B69" s="46" t="s">
        <v>81</v>
      </c>
      <c r="C69" s="361">
        <f>COUNTIFS(D8:D58,"&gt;=74.1",D8:D58,"&lt;89")</f>
        <v>18</v>
      </c>
      <c r="D69" s="362"/>
      <c r="E69" s="361">
        <f>COUNTIFS(F8:F58,"&gt;=74.1",F8:F58,"&lt;89")</f>
        <v>8</v>
      </c>
      <c r="F69" s="362"/>
      <c r="G69" s="361">
        <f>COUNTIFS(H8:H58,"&gt;=74.1",H8:H58,"&lt;89")</f>
        <v>10</v>
      </c>
      <c r="H69" s="362"/>
      <c r="I69" s="361">
        <f>COUNTIFS(J8:J58,"&gt;=74.1",J8:J58,"&lt;89")</f>
        <v>8</v>
      </c>
      <c r="J69" s="362"/>
      <c r="K69" s="361">
        <f>COUNTIFS(L8:L58,"&gt;=74.1",L8:L58,"&lt;89")</f>
        <v>9</v>
      </c>
      <c r="L69" s="362"/>
      <c r="M69" s="361">
        <f>COUNTIFS(N8:N58,"&gt;=74.1",N8:N58,"&lt;89")</f>
        <v>11</v>
      </c>
      <c r="N69" s="362"/>
      <c r="O69" s="361">
        <f>COUNTIFS(P8:P58,"&gt;=74.1",P8:P58,"&lt;89")</f>
        <v>14</v>
      </c>
      <c r="P69" s="364"/>
      <c r="Q69" s="362"/>
    </row>
    <row r="70" spans="1:17" ht="17.399999999999999">
      <c r="A70" s="382"/>
      <c r="B70" s="48" t="s">
        <v>82</v>
      </c>
      <c r="C70" s="370">
        <f>COUNTIF(D8:D58,"&gt;=89.1")</f>
        <v>2</v>
      </c>
      <c r="D70" s="371"/>
      <c r="E70" s="370">
        <f>COUNTIF(F8:F58,"&gt;=89.1")</f>
        <v>9</v>
      </c>
      <c r="F70" s="371"/>
      <c r="G70" s="370">
        <f>COUNTIF(H8:H58,"&gt;=89.1")</f>
        <v>7</v>
      </c>
      <c r="H70" s="371"/>
      <c r="I70" s="370">
        <f>COUNTIF(J8:J58,"&gt;=89.1")</f>
        <v>2</v>
      </c>
      <c r="J70" s="371"/>
      <c r="K70" s="370">
        <f>COUNTIF(L8:L58,"&gt;=89.1")</f>
        <v>2</v>
      </c>
      <c r="L70" s="371"/>
      <c r="M70" s="370">
        <f>COUNTIF(N8:N58,"&gt;=89.1")</f>
        <v>8</v>
      </c>
      <c r="N70" s="371"/>
      <c r="O70" s="361">
        <f>COUNTIF(P8:P58,"&gt;=89.1")</f>
        <v>1</v>
      </c>
      <c r="P70" s="364"/>
      <c r="Q70" s="362"/>
    </row>
    <row r="71" spans="1:17" ht="17.399999999999999">
      <c r="A71" s="388" t="s">
        <v>83</v>
      </c>
      <c r="B71" s="364"/>
      <c r="C71" s="361" t="s">
        <v>470</v>
      </c>
      <c r="D71" s="362"/>
      <c r="E71" s="372"/>
      <c r="F71" s="362"/>
      <c r="G71" s="372"/>
      <c r="H71" s="362"/>
      <c r="I71" s="372"/>
      <c r="J71" s="362"/>
      <c r="K71" s="372"/>
      <c r="L71" s="362"/>
      <c r="M71" s="372"/>
      <c r="N71" s="362"/>
      <c r="O71" s="388" t="s">
        <v>84</v>
      </c>
      <c r="P71" s="364"/>
      <c r="Q71" s="82">
        <f>IF(O62=0,"",O61/O62*100)</f>
        <v>0</v>
      </c>
    </row>
    <row r="72" spans="1:17" ht="17.399999999999999">
      <c r="A72" s="389" t="s">
        <v>85</v>
      </c>
      <c r="B72" s="369"/>
      <c r="C72" s="390"/>
      <c r="D72" s="369"/>
      <c r="E72" s="369"/>
      <c r="F72" s="369"/>
      <c r="G72" s="369"/>
      <c r="H72" s="369"/>
      <c r="I72" s="369"/>
      <c r="J72" s="369"/>
      <c r="K72" s="369"/>
      <c r="L72" s="369"/>
      <c r="M72" s="368" t="s">
        <v>86</v>
      </c>
      <c r="N72" s="369"/>
      <c r="O72" s="369"/>
      <c r="P72" s="369"/>
      <c r="Q72" s="369"/>
    </row>
  </sheetData>
  <mergeCells count="109">
    <mergeCell ref="A71:B71"/>
    <mergeCell ref="C71:D71"/>
    <mergeCell ref="E71:F71"/>
    <mergeCell ref="G71:H71"/>
    <mergeCell ref="I71:J71"/>
    <mergeCell ref="K71:L71"/>
    <mergeCell ref="A72:B72"/>
    <mergeCell ref="C72:L72"/>
    <mergeCell ref="A59:B59"/>
    <mergeCell ref="A60:A70"/>
    <mergeCell ref="E60:F60"/>
    <mergeCell ref="G60:H60"/>
    <mergeCell ref="K61:L61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C69:D69"/>
    <mergeCell ref="E69:F69"/>
    <mergeCell ref="G69:H69"/>
    <mergeCell ref="M63:N63"/>
    <mergeCell ref="O63:Q63"/>
    <mergeCell ref="O64:P64"/>
    <mergeCell ref="K69:L69"/>
    <mergeCell ref="C70:D70"/>
    <mergeCell ref="E70:F70"/>
    <mergeCell ref="G70:H70"/>
    <mergeCell ref="I70:J70"/>
    <mergeCell ref="K70:L70"/>
    <mergeCell ref="I69:J69"/>
    <mergeCell ref="M60:N60"/>
    <mergeCell ref="O60:Q60"/>
    <mergeCell ref="C61:D61"/>
    <mergeCell ref="E61:F61"/>
    <mergeCell ref="G61:H61"/>
    <mergeCell ref="I61:J61"/>
    <mergeCell ref="M61:N61"/>
    <mergeCell ref="O61:Q61"/>
    <mergeCell ref="E62:F62"/>
    <mergeCell ref="G62:H62"/>
    <mergeCell ref="M62:N62"/>
    <mergeCell ref="O62:Q62"/>
    <mergeCell ref="A1:Q1"/>
    <mergeCell ref="A2:D2"/>
    <mergeCell ref="E2:J2"/>
    <mergeCell ref="K2:Q2"/>
    <mergeCell ref="A3:B3"/>
    <mergeCell ref="C3:D3"/>
    <mergeCell ref="E3:J3"/>
    <mergeCell ref="M5:N5"/>
    <mergeCell ref="O5:P5"/>
    <mergeCell ref="K3:Q3"/>
    <mergeCell ref="A4:Q4"/>
    <mergeCell ref="A5:A7"/>
    <mergeCell ref="B5:B7"/>
    <mergeCell ref="C5:D5"/>
    <mergeCell ref="E5:F5"/>
    <mergeCell ref="G5:H5"/>
    <mergeCell ref="Q5:Q7"/>
    <mergeCell ref="I5:J5"/>
    <mergeCell ref="K5:L5"/>
    <mergeCell ref="M64:N64"/>
    <mergeCell ref="M65:N65"/>
    <mergeCell ref="O65:Q65"/>
    <mergeCell ref="M66:N66"/>
    <mergeCell ref="O66:Q66"/>
    <mergeCell ref="M67:N67"/>
    <mergeCell ref="O67:Q67"/>
    <mergeCell ref="O71:P71"/>
    <mergeCell ref="M72:Q72"/>
    <mergeCell ref="M68:N68"/>
    <mergeCell ref="O68:Q68"/>
    <mergeCell ref="M69:N69"/>
    <mergeCell ref="O69:Q69"/>
    <mergeCell ref="M70:N70"/>
    <mergeCell ref="O70:Q70"/>
    <mergeCell ref="M71:N71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C60:D60"/>
    <mergeCell ref="C62:D62"/>
    <mergeCell ref="I62:J62"/>
    <mergeCell ref="K62:L62"/>
    <mergeCell ref="C63:D63"/>
    <mergeCell ref="E63:F63"/>
    <mergeCell ref="G63:H63"/>
    <mergeCell ref="I63:J63"/>
    <mergeCell ref="K63:L63"/>
    <mergeCell ref="I60:J60"/>
    <mergeCell ref="K60:L6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S73"/>
  <sheetViews>
    <sheetView workbookViewId="0"/>
  </sheetViews>
  <sheetFormatPr defaultColWidth="12.6640625" defaultRowHeight="15.75" customHeight="1"/>
  <cols>
    <col min="2" max="2" width="26.109375" customWidth="1"/>
    <col min="3" max="3" width="8.21875" customWidth="1"/>
    <col min="4" max="4" width="8" customWidth="1"/>
    <col min="5" max="6" width="7" customWidth="1"/>
    <col min="7" max="7" width="8.21875" customWidth="1"/>
    <col min="8" max="8" width="6.77734375" customWidth="1"/>
    <col min="9" max="9" width="7.77734375" customWidth="1"/>
    <col min="10" max="10" width="7.21875" customWidth="1"/>
    <col min="11" max="11" width="8.33203125" customWidth="1"/>
    <col min="12" max="12" width="8.77734375" customWidth="1"/>
    <col min="13" max="13" width="10.21875" customWidth="1"/>
    <col min="14" max="14" width="7.33203125" customWidth="1"/>
    <col min="15" max="15" width="9.6640625" customWidth="1"/>
    <col min="16" max="16" width="10.109375" customWidth="1"/>
  </cols>
  <sheetData>
    <row r="1" spans="1:19" ht="15.75" customHeight="1">
      <c r="A1" s="392" t="s">
        <v>87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1"/>
    </row>
    <row r="2" spans="1:19" ht="15.75" customHeight="1">
      <c r="A2" s="373" t="s">
        <v>0</v>
      </c>
      <c r="B2" s="366"/>
      <c r="C2" s="366"/>
      <c r="D2" s="366"/>
      <c r="E2" s="374" t="s">
        <v>1</v>
      </c>
      <c r="F2" s="366"/>
      <c r="G2" s="366"/>
      <c r="H2" s="366"/>
      <c r="I2" s="366"/>
      <c r="J2" s="366"/>
      <c r="K2" s="375" t="s">
        <v>2</v>
      </c>
      <c r="L2" s="366"/>
      <c r="M2" s="366"/>
      <c r="N2" s="366"/>
      <c r="O2" s="366"/>
      <c r="P2" s="366"/>
      <c r="Q2" s="366"/>
      <c r="R2" s="366"/>
      <c r="S2" s="366"/>
    </row>
    <row r="3" spans="1:19" ht="15.75" customHeight="1">
      <c r="A3" s="383" t="s">
        <v>141</v>
      </c>
      <c r="B3" s="366"/>
      <c r="C3" s="374" t="s">
        <v>471</v>
      </c>
      <c r="D3" s="366"/>
      <c r="E3" s="374" t="s">
        <v>4</v>
      </c>
      <c r="F3" s="366"/>
      <c r="G3" s="366"/>
      <c r="H3" s="366"/>
      <c r="I3" s="366"/>
      <c r="J3" s="366"/>
      <c r="K3" s="374" t="s">
        <v>5</v>
      </c>
      <c r="L3" s="366"/>
      <c r="M3" s="366"/>
      <c r="N3" s="366"/>
      <c r="O3" s="366"/>
      <c r="P3" s="366"/>
      <c r="Q3" s="366"/>
      <c r="R3" s="366"/>
      <c r="S3" s="366"/>
    </row>
    <row r="4" spans="1:19" ht="15.75" customHeight="1">
      <c r="A4" s="400" t="s">
        <v>472</v>
      </c>
      <c r="B4" s="378"/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8"/>
      <c r="O4" s="378"/>
      <c r="P4" s="378"/>
      <c r="Q4" s="378"/>
      <c r="R4" s="378"/>
      <c r="S4" s="378"/>
    </row>
    <row r="5" spans="1:19">
      <c r="A5" s="384" t="s">
        <v>7</v>
      </c>
      <c r="B5" s="385" t="s">
        <v>8</v>
      </c>
      <c r="C5" s="379" t="s">
        <v>9</v>
      </c>
      <c r="D5" s="360"/>
      <c r="E5" s="379" t="s">
        <v>10</v>
      </c>
      <c r="F5" s="360"/>
      <c r="G5" s="367" t="s">
        <v>11</v>
      </c>
      <c r="H5" s="362"/>
      <c r="I5" s="379" t="s">
        <v>12</v>
      </c>
      <c r="J5" s="360"/>
      <c r="K5" s="379" t="s">
        <v>13</v>
      </c>
      <c r="L5" s="360"/>
      <c r="M5" s="379" t="s">
        <v>14</v>
      </c>
      <c r="N5" s="360"/>
      <c r="O5" s="379" t="s">
        <v>473</v>
      </c>
      <c r="P5" s="360"/>
      <c r="Q5" s="367" t="s">
        <v>15</v>
      </c>
      <c r="R5" s="362"/>
      <c r="S5" s="380" t="s">
        <v>16</v>
      </c>
    </row>
    <row r="6" spans="1:19">
      <c r="A6" s="381"/>
      <c r="B6" s="381"/>
      <c r="C6" s="4" t="s">
        <v>17</v>
      </c>
      <c r="D6" s="5">
        <v>40</v>
      </c>
      <c r="E6" s="4" t="s">
        <v>17</v>
      </c>
      <c r="F6" s="5">
        <v>40</v>
      </c>
      <c r="G6" s="4" t="s">
        <v>17</v>
      </c>
      <c r="H6" s="5">
        <v>40</v>
      </c>
      <c r="I6" s="4" t="s">
        <v>17</v>
      </c>
      <c r="J6" s="5">
        <v>40</v>
      </c>
      <c r="K6" s="4" t="s">
        <v>17</v>
      </c>
      <c r="L6" s="5">
        <v>40</v>
      </c>
      <c r="M6" s="4" t="s">
        <v>17</v>
      </c>
      <c r="N6" s="5">
        <v>40</v>
      </c>
      <c r="O6" s="4" t="s">
        <v>17</v>
      </c>
      <c r="P6" s="5">
        <v>40</v>
      </c>
      <c r="Q6" s="4" t="s">
        <v>17</v>
      </c>
      <c r="R6" s="5">
        <v>600</v>
      </c>
      <c r="S6" s="381"/>
    </row>
    <row r="7" spans="1:19" ht="15.75" customHeight="1">
      <c r="A7" s="382"/>
      <c r="B7" s="382"/>
      <c r="C7" s="6" t="s">
        <v>18</v>
      </c>
      <c r="D7" s="6" t="s">
        <v>19</v>
      </c>
      <c r="E7" s="22" t="s">
        <v>18</v>
      </c>
      <c r="F7" s="6" t="s">
        <v>19</v>
      </c>
      <c r="G7" s="6" t="s">
        <v>18</v>
      </c>
      <c r="H7" s="6" t="s">
        <v>19</v>
      </c>
      <c r="I7" s="6" t="s">
        <v>18</v>
      </c>
      <c r="J7" s="6" t="s">
        <v>19</v>
      </c>
      <c r="K7" s="6" t="s">
        <v>18</v>
      </c>
      <c r="L7" s="6" t="s">
        <v>19</v>
      </c>
      <c r="M7" s="6" t="s">
        <v>18</v>
      </c>
      <c r="N7" s="6" t="s">
        <v>19</v>
      </c>
      <c r="O7" s="6" t="s">
        <v>18</v>
      </c>
      <c r="P7" s="6" t="s">
        <v>19</v>
      </c>
      <c r="Q7" s="6" t="s">
        <v>18</v>
      </c>
      <c r="R7" s="6" t="s">
        <v>19</v>
      </c>
      <c r="S7" s="382"/>
    </row>
    <row r="8" spans="1:19" ht="15.75" customHeight="1">
      <c r="A8" s="86">
        <v>1</v>
      </c>
      <c r="B8" s="176" t="s">
        <v>474</v>
      </c>
      <c r="C8" s="41">
        <v>31</v>
      </c>
      <c r="D8" s="12">
        <f t="shared" ref="D8:D51" si="0">IF(C8="","",IF(C8="AB",AB,IF(C8="TC","TC",(C8/D$6)*100)))</f>
        <v>77.5</v>
      </c>
      <c r="E8" s="13">
        <v>24</v>
      </c>
      <c r="F8" s="12">
        <f t="shared" ref="F8:F51" si="1">IF(E8="","",IF(E8="AB",AB,IF(E8="TC","TC",(E8/F$6)*100)))</f>
        <v>60</v>
      </c>
      <c r="G8" s="41">
        <v>18</v>
      </c>
      <c r="H8" s="12">
        <f t="shared" ref="H8:H51" si="2">IF(G8="","",IF(G8="AB",AB,IF(G8="TC","TC",(G8/H$6)*100)))</f>
        <v>45</v>
      </c>
      <c r="I8" s="41">
        <v>27</v>
      </c>
      <c r="J8" s="12">
        <f t="shared" ref="J8:J51" si="3">IF(I8="","",IF(I8="AB",AB,IF(I8="TC","TC",(I8/J$6)*100)))</f>
        <v>67.5</v>
      </c>
      <c r="K8" s="41">
        <v>29</v>
      </c>
      <c r="L8" s="12">
        <f t="shared" ref="L8:L52" si="4">IF(K8="","",IF(K8="AB",AB,IF(K8="TC","TC",(K8/L$6)*100)))</f>
        <v>72.5</v>
      </c>
      <c r="M8" s="37"/>
      <c r="N8" s="37" t="str">
        <f t="shared" ref="N8:N51" si="5">IF(M8="","",IF(M8="AB",AB,IF(M8="TC","TC",(M8/N$6)*100)))</f>
        <v/>
      </c>
      <c r="O8" s="41">
        <v>26</v>
      </c>
      <c r="P8" s="12">
        <f t="shared" ref="P8:P51" si="6">IF(O8="","",IF(O8="AB",AB,IF(O8="TC","TC",(O8/P$6)*100)))</f>
        <v>65</v>
      </c>
      <c r="Q8" s="12">
        <f t="shared" ref="Q8:Q51" si="7">SUM(D8,F8,H8,J8,L8,N8,P8)</f>
        <v>387.5</v>
      </c>
      <c r="R8" s="17">
        <f t="shared" ref="R8:R51" si="8">IF(Q8="","",IF(Q8="AB","AB",(Q8/R$6)*100))</f>
        <v>64.583333333333343</v>
      </c>
      <c r="S8" s="41" t="str">
        <f t="shared" ref="S8:S42" si="9">IF(R8=0,"",IF(V8="FAIL","FAIL","PASS"))</f>
        <v>PASS</v>
      </c>
    </row>
    <row r="9" spans="1:19" ht="15.75" customHeight="1">
      <c r="A9" s="86">
        <v>2</v>
      </c>
      <c r="B9" s="177" t="s">
        <v>475</v>
      </c>
      <c r="C9" s="41">
        <v>34</v>
      </c>
      <c r="D9" s="12">
        <f t="shared" si="0"/>
        <v>85</v>
      </c>
      <c r="E9" s="13">
        <v>28</v>
      </c>
      <c r="F9" s="12">
        <f t="shared" si="1"/>
        <v>70</v>
      </c>
      <c r="G9" s="41">
        <v>35</v>
      </c>
      <c r="H9" s="12">
        <f t="shared" si="2"/>
        <v>87.5</v>
      </c>
      <c r="I9" s="41">
        <v>40</v>
      </c>
      <c r="J9" s="12">
        <f t="shared" si="3"/>
        <v>100</v>
      </c>
      <c r="K9" s="22">
        <v>36</v>
      </c>
      <c r="L9" s="37">
        <f t="shared" si="4"/>
        <v>90</v>
      </c>
      <c r="M9" s="37"/>
      <c r="N9" s="37" t="str">
        <f t="shared" si="5"/>
        <v/>
      </c>
      <c r="O9" s="41">
        <v>36</v>
      </c>
      <c r="P9" s="12">
        <f t="shared" si="6"/>
        <v>90</v>
      </c>
      <c r="Q9" s="12">
        <f t="shared" si="7"/>
        <v>522.5</v>
      </c>
      <c r="R9" s="17">
        <f t="shared" si="8"/>
        <v>87.083333333333329</v>
      </c>
      <c r="S9" s="41" t="str">
        <f t="shared" si="9"/>
        <v>PASS</v>
      </c>
    </row>
    <row r="10" spans="1:19" ht="15.75" customHeight="1">
      <c r="A10" s="86">
        <v>3</v>
      </c>
      <c r="B10" s="177" t="s">
        <v>476</v>
      </c>
      <c r="C10" s="41">
        <v>35</v>
      </c>
      <c r="D10" s="12">
        <f t="shared" si="0"/>
        <v>87.5</v>
      </c>
      <c r="E10" s="13">
        <v>24</v>
      </c>
      <c r="F10" s="12">
        <f t="shared" si="1"/>
        <v>60</v>
      </c>
      <c r="G10" s="41">
        <v>17</v>
      </c>
      <c r="H10" s="12">
        <f t="shared" si="2"/>
        <v>42.5</v>
      </c>
      <c r="I10" s="41">
        <v>33</v>
      </c>
      <c r="J10" s="12">
        <f t="shared" si="3"/>
        <v>82.5</v>
      </c>
      <c r="K10" s="41">
        <v>35</v>
      </c>
      <c r="L10" s="12">
        <f t="shared" si="4"/>
        <v>87.5</v>
      </c>
      <c r="M10" s="37"/>
      <c r="N10" s="37" t="str">
        <f t="shared" si="5"/>
        <v/>
      </c>
      <c r="O10" s="41">
        <v>27</v>
      </c>
      <c r="P10" s="12">
        <f t="shared" si="6"/>
        <v>67.5</v>
      </c>
      <c r="Q10" s="12">
        <f t="shared" si="7"/>
        <v>427.5</v>
      </c>
      <c r="R10" s="17">
        <f t="shared" si="8"/>
        <v>71.25</v>
      </c>
      <c r="S10" s="41" t="str">
        <f t="shared" si="9"/>
        <v>PASS</v>
      </c>
    </row>
    <row r="11" spans="1:19" ht="15.75" customHeight="1">
      <c r="A11" s="86">
        <v>4</v>
      </c>
      <c r="B11" s="177" t="s">
        <v>477</v>
      </c>
      <c r="C11" s="41">
        <v>31</v>
      </c>
      <c r="D11" s="12">
        <f t="shared" si="0"/>
        <v>77.5</v>
      </c>
      <c r="E11" s="13">
        <v>32</v>
      </c>
      <c r="F11" s="12">
        <f t="shared" si="1"/>
        <v>80</v>
      </c>
      <c r="G11" s="41">
        <v>25</v>
      </c>
      <c r="H11" s="12">
        <f t="shared" si="2"/>
        <v>62.5</v>
      </c>
      <c r="I11" s="41">
        <v>33</v>
      </c>
      <c r="J11" s="12">
        <f t="shared" si="3"/>
        <v>82.5</v>
      </c>
      <c r="K11" s="41">
        <v>36</v>
      </c>
      <c r="L11" s="12">
        <f t="shared" si="4"/>
        <v>90</v>
      </c>
      <c r="M11" s="37"/>
      <c r="N11" s="37" t="str">
        <f t="shared" si="5"/>
        <v/>
      </c>
      <c r="O11" s="41">
        <v>30</v>
      </c>
      <c r="P11" s="12">
        <f t="shared" si="6"/>
        <v>75</v>
      </c>
      <c r="Q11" s="12">
        <f t="shared" si="7"/>
        <v>467.5</v>
      </c>
      <c r="R11" s="17">
        <f t="shared" si="8"/>
        <v>77.916666666666671</v>
      </c>
      <c r="S11" s="41" t="str">
        <f t="shared" si="9"/>
        <v>PASS</v>
      </c>
    </row>
    <row r="12" spans="1:19" ht="15.75" customHeight="1">
      <c r="A12" s="86">
        <v>5</v>
      </c>
      <c r="B12" s="177" t="s">
        <v>478</v>
      </c>
      <c r="C12" s="41">
        <v>18</v>
      </c>
      <c r="D12" s="12">
        <f t="shared" si="0"/>
        <v>45</v>
      </c>
      <c r="E12" s="13">
        <v>13</v>
      </c>
      <c r="F12" s="70">
        <f t="shared" si="1"/>
        <v>32.5</v>
      </c>
      <c r="G12" s="41">
        <v>28</v>
      </c>
      <c r="H12" s="12">
        <f t="shared" si="2"/>
        <v>70</v>
      </c>
      <c r="I12" s="41">
        <v>18</v>
      </c>
      <c r="J12" s="70">
        <f t="shared" si="3"/>
        <v>45</v>
      </c>
      <c r="K12" s="41">
        <v>24</v>
      </c>
      <c r="L12" s="12">
        <f t="shared" si="4"/>
        <v>60</v>
      </c>
      <c r="M12" s="37"/>
      <c r="N12" s="37" t="str">
        <f t="shared" si="5"/>
        <v/>
      </c>
      <c r="O12" s="41">
        <v>18</v>
      </c>
      <c r="P12" s="12">
        <f t="shared" si="6"/>
        <v>45</v>
      </c>
      <c r="Q12" s="12">
        <f t="shared" si="7"/>
        <v>297.5</v>
      </c>
      <c r="R12" s="17">
        <f t="shared" si="8"/>
        <v>49.583333333333336</v>
      </c>
      <c r="S12" s="90" t="str">
        <f t="shared" si="9"/>
        <v>PASS</v>
      </c>
    </row>
    <row r="13" spans="1:19" ht="15.75" customHeight="1">
      <c r="A13" s="86">
        <v>6</v>
      </c>
      <c r="B13" s="177" t="s">
        <v>479</v>
      </c>
      <c r="C13" s="41">
        <v>28</v>
      </c>
      <c r="D13" s="12">
        <f t="shared" si="0"/>
        <v>70</v>
      </c>
      <c r="E13" s="13">
        <v>35</v>
      </c>
      <c r="F13" s="12">
        <f t="shared" si="1"/>
        <v>87.5</v>
      </c>
      <c r="G13" s="41">
        <v>21</v>
      </c>
      <c r="H13" s="12">
        <f t="shared" si="2"/>
        <v>52.5</v>
      </c>
      <c r="I13" s="41">
        <v>35</v>
      </c>
      <c r="J13" s="12">
        <f t="shared" si="3"/>
        <v>87.5</v>
      </c>
      <c r="K13" s="41">
        <v>37</v>
      </c>
      <c r="L13" s="12">
        <f t="shared" si="4"/>
        <v>92.5</v>
      </c>
      <c r="M13" s="37"/>
      <c r="N13" s="37" t="str">
        <f t="shared" si="5"/>
        <v/>
      </c>
      <c r="O13" s="41">
        <v>31</v>
      </c>
      <c r="P13" s="12">
        <f t="shared" si="6"/>
        <v>77.5</v>
      </c>
      <c r="Q13" s="12">
        <f t="shared" si="7"/>
        <v>467.5</v>
      </c>
      <c r="R13" s="17">
        <f t="shared" si="8"/>
        <v>77.916666666666671</v>
      </c>
      <c r="S13" s="41" t="str">
        <f t="shared" si="9"/>
        <v>PASS</v>
      </c>
    </row>
    <row r="14" spans="1:19" ht="15.75" customHeight="1">
      <c r="A14" s="86">
        <v>7</v>
      </c>
      <c r="B14" s="177" t="s">
        <v>480</v>
      </c>
      <c r="C14" s="41">
        <v>28</v>
      </c>
      <c r="D14" s="12">
        <f t="shared" si="0"/>
        <v>70</v>
      </c>
      <c r="E14" s="41">
        <v>28</v>
      </c>
      <c r="F14" s="12">
        <f t="shared" si="1"/>
        <v>70</v>
      </c>
      <c r="G14" s="41">
        <v>19</v>
      </c>
      <c r="H14" s="12">
        <f t="shared" si="2"/>
        <v>47.5</v>
      </c>
      <c r="I14" s="41">
        <v>32</v>
      </c>
      <c r="J14" s="12">
        <f t="shared" si="3"/>
        <v>80</v>
      </c>
      <c r="K14" s="41">
        <v>27</v>
      </c>
      <c r="L14" s="12">
        <f t="shared" si="4"/>
        <v>67.5</v>
      </c>
      <c r="M14" s="37"/>
      <c r="N14" s="37" t="str">
        <f t="shared" si="5"/>
        <v/>
      </c>
      <c r="O14" s="41">
        <v>27</v>
      </c>
      <c r="P14" s="12">
        <f t="shared" si="6"/>
        <v>67.5</v>
      </c>
      <c r="Q14" s="12">
        <f t="shared" si="7"/>
        <v>402.5</v>
      </c>
      <c r="R14" s="17">
        <f t="shared" si="8"/>
        <v>67.083333333333329</v>
      </c>
      <c r="S14" s="41" t="str">
        <f t="shared" si="9"/>
        <v>PASS</v>
      </c>
    </row>
    <row r="15" spans="1:19" ht="15.75" customHeight="1">
      <c r="A15" s="86">
        <v>8</v>
      </c>
      <c r="B15" s="177" t="s">
        <v>481</v>
      </c>
      <c r="C15" s="41">
        <v>34</v>
      </c>
      <c r="D15" s="12">
        <f t="shared" si="0"/>
        <v>85</v>
      </c>
      <c r="E15" s="41">
        <v>39</v>
      </c>
      <c r="F15" s="12">
        <f t="shared" si="1"/>
        <v>97.5</v>
      </c>
      <c r="G15" s="41">
        <v>37</v>
      </c>
      <c r="H15" s="12">
        <f t="shared" si="2"/>
        <v>92.5</v>
      </c>
      <c r="I15" s="41">
        <v>39</v>
      </c>
      <c r="J15" s="12">
        <f t="shared" si="3"/>
        <v>97.5</v>
      </c>
      <c r="K15" s="41">
        <v>40</v>
      </c>
      <c r="L15" s="12">
        <f t="shared" si="4"/>
        <v>100</v>
      </c>
      <c r="M15" s="37"/>
      <c r="N15" s="37" t="str">
        <f t="shared" si="5"/>
        <v/>
      </c>
      <c r="O15" s="41">
        <v>38</v>
      </c>
      <c r="P15" s="12">
        <f t="shared" si="6"/>
        <v>95</v>
      </c>
      <c r="Q15" s="12">
        <f t="shared" si="7"/>
        <v>567.5</v>
      </c>
      <c r="R15" s="17">
        <f t="shared" si="8"/>
        <v>94.583333333333329</v>
      </c>
      <c r="S15" s="41" t="str">
        <f t="shared" si="9"/>
        <v>PASS</v>
      </c>
    </row>
    <row r="16" spans="1:19" ht="15.75" customHeight="1">
      <c r="A16" s="86">
        <v>9</v>
      </c>
      <c r="B16" s="177" t="s">
        <v>482</v>
      </c>
      <c r="C16" s="41">
        <v>26</v>
      </c>
      <c r="D16" s="12">
        <f t="shared" si="0"/>
        <v>65</v>
      </c>
      <c r="E16" s="41">
        <v>20</v>
      </c>
      <c r="F16" s="12">
        <f t="shared" si="1"/>
        <v>50</v>
      </c>
      <c r="G16" s="41">
        <v>14</v>
      </c>
      <c r="H16" s="12">
        <f t="shared" si="2"/>
        <v>35</v>
      </c>
      <c r="I16" s="41">
        <v>21</v>
      </c>
      <c r="J16" s="12">
        <f t="shared" si="3"/>
        <v>52.5</v>
      </c>
      <c r="K16" s="41">
        <v>29</v>
      </c>
      <c r="L16" s="12">
        <f t="shared" si="4"/>
        <v>72.5</v>
      </c>
      <c r="M16" s="37"/>
      <c r="N16" s="37" t="str">
        <f t="shared" si="5"/>
        <v/>
      </c>
      <c r="O16" s="41">
        <v>27</v>
      </c>
      <c r="P16" s="12">
        <f t="shared" si="6"/>
        <v>67.5</v>
      </c>
      <c r="Q16" s="12">
        <f t="shared" si="7"/>
        <v>342.5</v>
      </c>
      <c r="R16" s="17">
        <f t="shared" si="8"/>
        <v>57.083333333333329</v>
      </c>
      <c r="S16" s="41" t="str">
        <f t="shared" si="9"/>
        <v>PASS</v>
      </c>
    </row>
    <row r="17" spans="1:19" ht="15.75" customHeight="1">
      <c r="A17" s="86">
        <v>10</v>
      </c>
      <c r="B17" s="177" t="s">
        <v>483</v>
      </c>
      <c r="C17" s="41">
        <v>35</v>
      </c>
      <c r="D17" s="12">
        <f t="shared" si="0"/>
        <v>87.5</v>
      </c>
      <c r="E17" s="41">
        <v>23</v>
      </c>
      <c r="F17" s="12">
        <f t="shared" si="1"/>
        <v>57.499999999999993</v>
      </c>
      <c r="G17" s="41">
        <v>14</v>
      </c>
      <c r="H17" s="12">
        <f t="shared" si="2"/>
        <v>35</v>
      </c>
      <c r="I17" s="41">
        <v>35</v>
      </c>
      <c r="J17" s="12">
        <f t="shared" si="3"/>
        <v>87.5</v>
      </c>
      <c r="K17" s="41">
        <v>29</v>
      </c>
      <c r="L17" s="12">
        <f t="shared" si="4"/>
        <v>72.5</v>
      </c>
      <c r="M17" s="37"/>
      <c r="N17" s="37" t="str">
        <f t="shared" si="5"/>
        <v/>
      </c>
      <c r="O17" s="41">
        <v>35</v>
      </c>
      <c r="P17" s="12">
        <f t="shared" si="6"/>
        <v>87.5</v>
      </c>
      <c r="Q17" s="12">
        <f t="shared" si="7"/>
        <v>427.5</v>
      </c>
      <c r="R17" s="17">
        <f t="shared" si="8"/>
        <v>71.25</v>
      </c>
      <c r="S17" s="41" t="str">
        <f t="shared" si="9"/>
        <v>PASS</v>
      </c>
    </row>
    <row r="18" spans="1:19" ht="15.75" customHeight="1">
      <c r="A18" s="86">
        <v>11</v>
      </c>
      <c r="B18" s="177" t="s">
        <v>484</v>
      </c>
      <c r="C18" s="41">
        <v>31</v>
      </c>
      <c r="D18" s="12">
        <f t="shared" si="0"/>
        <v>77.5</v>
      </c>
      <c r="E18" s="41">
        <v>23</v>
      </c>
      <c r="F18" s="12">
        <f t="shared" si="1"/>
        <v>57.499999999999993</v>
      </c>
      <c r="G18" s="41">
        <v>23</v>
      </c>
      <c r="H18" s="12">
        <f t="shared" si="2"/>
        <v>57.499999999999993</v>
      </c>
      <c r="I18" s="41">
        <v>28</v>
      </c>
      <c r="J18" s="12">
        <f t="shared" si="3"/>
        <v>70</v>
      </c>
      <c r="K18" s="41">
        <v>26</v>
      </c>
      <c r="L18" s="12">
        <f t="shared" si="4"/>
        <v>65</v>
      </c>
      <c r="M18" s="37"/>
      <c r="N18" s="37" t="str">
        <f t="shared" si="5"/>
        <v/>
      </c>
      <c r="O18" s="41">
        <v>27</v>
      </c>
      <c r="P18" s="12">
        <f t="shared" si="6"/>
        <v>67.5</v>
      </c>
      <c r="Q18" s="12">
        <f t="shared" si="7"/>
        <v>395</v>
      </c>
      <c r="R18" s="17">
        <f t="shared" si="8"/>
        <v>65.833333333333329</v>
      </c>
      <c r="S18" s="41" t="str">
        <f t="shared" si="9"/>
        <v>PASS</v>
      </c>
    </row>
    <row r="19" spans="1:19" ht="15.75" customHeight="1">
      <c r="A19" s="86">
        <v>12</v>
      </c>
      <c r="B19" s="177" t="s">
        <v>485</v>
      </c>
      <c r="C19" s="41">
        <v>38</v>
      </c>
      <c r="D19" s="12">
        <f t="shared" si="0"/>
        <v>95</v>
      </c>
      <c r="E19" s="41">
        <v>34</v>
      </c>
      <c r="F19" s="12">
        <f t="shared" si="1"/>
        <v>85</v>
      </c>
      <c r="G19" s="41">
        <v>31</v>
      </c>
      <c r="H19" s="12">
        <f t="shared" si="2"/>
        <v>77.5</v>
      </c>
      <c r="I19" s="41">
        <v>38</v>
      </c>
      <c r="J19" s="12">
        <f t="shared" si="3"/>
        <v>95</v>
      </c>
      <c r="K19" s="41">
        <v>34</v>
      </c>
      <c r="L19" s="12">
        <f t="shared" si="4"/>
        <v>85</v>
      </c>
      <c r="M19" s="37"/>
      <c r="N19" s="37" t="str">
        <f t="shared" si="5"/>
        <v/>
      </c>
      <c r="O19" s="41">
        <v>36</v>
      </c>
      <c r="P19" s="12">
        <f t="shared" si="6"/>
        <v>90</v>
      </c>
      <c r="Q19" s="12">
        <f t="shared" si="7"/>
        <v>527.5</v>
      </c>
      <c r="R19" s="17">
        <f t="shared" si="8"/>
        <v>87.916666666666671</v>
      </c>
      <c r="S19" s="41" t="str">
        <f t="shared" si="9"/>
        <v>PASS</v>
      </c>
    </row>
    <row r="20" spans="1:19" ht="15.75" customHeight="1">
      <c r="A20" s="86">
        <v>13</v>
      </c>
      <c r="B20" s="177" t="s">
        <v>486</v>
      </c>
      <c r="C20" s="41">
        <v>36</v>
      </c>
      <c r="D20" s="12">
        <f t="shared" si="0"/>
        <v>90</v>
      </c>
      <c r="E20" s="41">
        <v>31</v>
      </c>
      <c r="F20" s="12">
        <f t="shared" si="1"/>
        <v>77.5</v>
      </c>
      <c r="G20" s="41">
        <v>21</v>
      </c>
      <c r="H20" s="12">
        <f t="shared" si="2"/>
        <v>52.5</v>
      </c>
      <c r="I20" s="41">
        <v>34</v>
      </c>
      <c r="J20" s="12">
        <f t="shared" si="3"/>
        <v>85</v>
      </c>
      <c r="K20" s="41">
        <v>29</v>
      </c>
      <c r="L20" s="12">
        <f t="shared" si="4"/>
        <v>72.5</v>
      </c>
      <c r="M20" s="37"/>
      <c r="N20" s="37" t="str">
        <f t="shared" si="5"/>
        <v/>
      </c>
      <c r="O20" s="41">
        <v>33</v>
      </c>
      <c r="P20" s="12">
        <f t="shared" si="6"/>
        <v>82.5</v>
      </c>
      <c r="Q20" s="12">
        <f t="shared" si="7"/>
        <v>460</v>
      </c>
      <c r="R20" s="17">
        <f t="shared" si="8"/>
        <v>76.666666666666671</v>
      </c>
      <c r="S20" s="41" t="str">
        <f t="shared" si="9"/>
        <v>PASS</v>
      </c>
    </row>
    <row r="21" spans="1:19" ht="15.75" customHeight="1">
      <c r="A21" s="86">
        <v>14</v>
      </c>
      <c r="B21" s="177" t="s">
        <v>487</v>
      </c>
      <c r="C21" s="41">
        <v>34</v>
      </c>
      <c r="D21" s="12">
        <f t="shared" si="0"/>
        <v>85</v>
      </c>
      <c r="E21" s="41">
        <v>30</v>
      </c>
      <c r="F21" s="12">
        <f t="shared" si="1"/>
        <v>75</v>
      </c>
      <c r="G21" s="41">
        <v>17</v>
      </c>
      <c r="H21" s="12">
        <f t="shared" si="2"/>
        <v>42.5</v>
      </c>
      <c r="I21" s="41">
        <v>34</v>
      </c>
      <c r="J21" s="12">
        <f t="shared" si="3"/>
        <v>85</v>
      </c>
      <c r="K21" s="41">
        <v>24</v>
      </c>
      <c r="L21" s="12">
        <f t="shared" si="4"/>
        <v>60</v>
      </c>
      <c r="M21" s="37"/>
      <c r="N21" s="37" t="str">
        <f t="shared" si="5"/>
        <v/>
      </c>
      <c r="O21" s="41">
        <v>31</v>
      </c>
      <c r="P21" s="12">
        <f t="shared" si="6"/>
        <v>77.5</v>
      </c>
      <c r="Q21" s="12">
        <f t="shared" si="7"/>
        <v>425</v>
      </c>
      <c r="R21" s="17">
        <f t="shared" si="8"/>
        <v>70.833333333333343</v>
      </c>
      <c r="S21" s="41" t="str">
        <f t="shared" si="9"/>
        <v>PASS</v>
      </c>
    </row>
    <row r="22" spans="1:19" ht="15.75" customHeight="1">
      <c r="A22" s="86">
        <v>15</v>
      </c>
      <c r="B22" s="177" t="s">
        <v>488</v>
      </c>
      <c r="C22" s="41">
        <v>37</v>
      </c>
      <c r="D22" s="12">
        <f t="shared" si="0"/>
        <v>92.5</v>
      </c>
      <c r="E22" s="41">
        <v>33</v>
      </c>
      <c r="F22" s="12">
        <f t="shared" si="1"/>
        <v>82.5</v>
      </c>
      <c r="G22" s="41">
        <v>31</v>
      </c>
      <c r="H22" s="12">
        <f t="shared" si="2"/>
        <v>77.5</v>
      </c>
      <c r="I22" s="41">
        <v>33</v>
      </c>
      <c r="J22" s="12">
        <f t="shared" si="3"/>
        <v>82.5</v>
      </c>
      <c r="K22" s="41">
        <v>30</v>
      </c>
      <c r="L22" s="12">
        <f t="shared" si="4"/>
        <v>75</v>
      </c>
      <c r="M22" s="37"/>
      <c r="N22" s="37" t="str">
        <f t="shared" si="5"/>
        <v/>
      </c>
      <c r="O22" s="41">
        <v>32</v>
      </c>
      <c r="P22" s="12">
        <f t="shared" si="6"/>
        <v>80</v>
      </c>
      <c r="Q22" s="12">
        <f t="shared" si="7"/>
        <v>490</v>
      </c>
      <c r="R22" s="17">
        <f t="shared" si="8"/>
        <v>81.666666666666671</v>
      </c>
      <c r="S22" s="41" t="str">
        <f t="shared" si="9"/>
        <v>PASS</v>
      </c>
    </row>
    <row r="23" spans="1:19" ht="15.75" customHeight="1">
      <c r="A23" s="86">
        <v>16</v>
      </c>
      <c r="B23" s="177" t="s">
        <v>489</v>
      </c>
      <c r="C23" s="41">
        <v>33</v>
      </c>
      <c r="D23" s="12">
        <f t="shared" si="0"/>
        <v>82.5</v>
      </c>
      <c r="E23" s="41">
        <v>34</v>
      </c>
      <c r="F23" s="12">
        <f t="shared" si="1"/>
        <v>85</v>
      </c>
      <c r="G23" s="151">
        <v>27</v>
      </c>
      <c r="H23" s="12">
        <f t="shared" si="2"/>
        <v>67.5</v>
      </c>
      <c r="I23" s="41">
        <v>36</v>
      </c>
      <c r="J23" s="12">
        <f t="shared" si="3"/>
        <v>90</v>
      </c>
      <c r="K23" s="41">
        <v>32</v>
      </c>
      <c r="L23" s="12">
        <f t="shared" si="4"/>
        <v>80</v>
      </c>
      <c r="M23" s="37"/>
      <c r="N23" s="37" t="str">
        <f t="shared" si="5"/>
        <v/>
      </c>
      <c r="O23" s="41">
        <v>32</v>
      </c>
      <c r="P23" s="12">
        <f t="shared" si="6"/>
        <v>80</v>
      </c>
      <c r="Q23" s="12">
        <f t="shared" si="7"/>
        <v>485</v>
      </c>
      <c r="R23" s="17">
        <f t="shared" si="8"/>
        <v>80.833333333333329</v>
      </c>
      <c r="S23" s="41" t="str">
        <f t="shared" si="9"/>
        <v>PASS</v>
      </c>
    </row>
    <row r="24" spans="1:19" ht="15.75" customHeight="1">
      <c r="A24" s="86">
        <v>17</v>
      </c>
      <c r="B24" s="177" t="s">
        <v>490</v>
      </c>
      <c r="C24" s="41">
        <v>34</v>
      </c>
      <c r="D24" s="12">
        <f t="shared" si="0"/>
        <v>85</v>
      </c>
      <c r="E24" s="41">
        <v>29</v>
      </c>
      <c r="F24" s="12">
        <f t="shared" si="1"/>
        <v>72.5</v>
      </c>
      <c r="G24" s="41">
        <v>25</v>
      </c>
      <c r="H24" s="12">
        <f t="shared" si="2"/>
        <v>62.5</v>
      </c>
      <c r="I24" s="41">
        <v>33</v>
      </c>
      <c r="J24" s="12">
        <f t="shared" si="3"/>
        <v>82.5</v>
      </c>
      <c r="K24" s="22">
        <v>34</v>
      </c>
      <c r="L24" s="37">
        <f t="shared" si="4"/>
        <v>85</v>
      </c>
      <c r="M24" s="37"/>
      <c r="N24" s="37" t="str">
        <f t="shared" si="5"/>
        <v/>
      </c>
      <c r="O24" s="178">
        <v>34</v>
      </c>
      <c r="P24" s="12">
        <f t="shared" si="6"/>
        <v>85</v>
      </c>
      <c r="Q24" s="12">
        <f t="shared" si="7"/>
        <v>472.5</v>
      </c>
      <c r="R24" s="17">
        <f t="shared" si="8"/>
        <v>78.75</v>
      </c>
      <c r="S24" s="41" t="str">
        <f t="shared" si="9"/>
        <v>PASS</v>
      </c>
    </row>
    <row r="25" spans="1:19" ht="15.75" customHeight="1">
      <c r="A25" s="86">
        <v>18</v>
      </c>
      <c r="B25" s="177" t="s">
        <v>491</v>
      </c>
      <c r="C25" s="41">
        <v>26</v>
      </c>
      <c r="D25" s="12">
        <f t="shared" si="0"/>
        <v>65</v>
      </c>
      <c r="E25" s="41">
        <v>23</v>
      </c>
      <c r="F25" s="12">
        <f t="shared" si="1"/>
        <v>57.499999999999993</v>
      </c>
      <c r="G25" s="41">
        <v>21</v>
      </c>
      <c r="H25" s="12">
        <f t="shared" si="2"/>
        <v>52.5</v>
      </c>
      <c r="I25" s="41">
        <v>38</v>
      </c>
      <c r="J25" s="12">
        <f t="shared" si="3"/>
        <v>95</v>
      </c>
      <c r="K25" s="37">
        <v>29</v>
      </c>
      <c r="L25" s="37">
        <f t="shared" si="4"/>
        <v>72.5</v>
      </c>
      <c r="M25" s="37"/>
      <c r="N25" s="37" t="str">
        <f t="shared" si="5"/>
        <v/>
      </c>
      <c r="O25" s="41">
        <v>31</v>
      </c>
      <c r="P25" s="12">
        <f t="shared" si="6"/>
        <v>77.5</v>
      </c>
      <c r="Q25" s="12">
        <f t="shared" si="7"/>
        <v>420</v>
      </c>
      <c r="R25" s="17">
        <f t="shared" si="8"/>
        <v>70</v>
      </c>
      <c r="S25" s="41" t="str">
        <f t="shared" si="9"/>
        <v>PASS</v>
      </c>
    </row>
    <row r="26" spans="1:19" ht="15.75" customHeight="1">
      <c r="A26" s="86">
        <v>19</v>
      </c>
      <c r="B26" s="177" t="s">
        <v>492</v>
      </c>
      <c r="C26" s="41">
        <v>27</v>
      </c>
      <c r="D26" s="12">
        <f t="shared" si="0"/>
        <v>67.5</v>
      </c>
      <c r="E26" s="41">
        <v>19</v>
      </c>
      <c r="F26" s="12">
        <f t="shared" si="1"/>
        <v>47.5</v>
      </c>
      <c r="G26" s="41">
        <v>23</v>
      </c>
      <c r="H26" s="12">
        <f t="shared" si="2"/>
        <v>57.499999999999993</v>
      </c>
      <c r="I26" s="41">
        <v>17</v>
      </c>
      <c r="J26" s="12">
        <f t="shared" si="3"/>
        <v>42.5</v>
      </c>
      <c r="K26" s="12">
        <v>24</v>
      </c>
      <c r="L26" s="12">
        <f t="shared" si="4"/>
        <v>60</v>
      </c>
      <c r="M26" s="37"/>
      <c r="N26" s="37" t="str">
        <f t="shared" si="5"/>
        <v/>
      </c>
      <c r="O26" s="41">
        <v>25</v>
      </c>
      <c r="P26" s="12">
        <f t="shared" si="6"/>
        <v>62.5</v>
      </c>
      <c r="Q26" s="12">
        <f t="shared" si="7"/>
        <v>337.5</v>
      </c>
      <c r="R26" s="17">
        <f t="shared" si="8"/>
        <v>56.25</v>
      </c>
      <c r="S26" s="41" t="str">
        <f t="shared" si="9"/>
        <v>PASS</v>
      </c>
    </row>
    <row r="27" spans="1:19" ht="18">
      <c r="A27" s="86">
        <v>20</v>
      </c>
      <c r="B27" s="177" t="s">
        <v>493</v>
      </c>
      <c r="C27" s="41">
        <v>34</v>
      </c>
      <c r="D27" s="12">
        <f t="shared" si="0"/>
        <v>85</v>
      </c>
      <c r="E27" s="13">
        <v>33</v>
      </c>
      <c r="F27" s="12">
        <f t="shared" si="1"/>
        <v>82.5</v>
      </c>
      <c r="G27" s="41">
        <v>25</v>
      </c>
      <c r="H27" s="12">
        <f t="shared" si="2"/>
        <v>62.5</v>
      </c>
      <c r="I27" s="41">
        <v>37</v>
      </c>
      <c r="J27" s="12">
        <f t="shared" si="3"/>
        <v>92.5</v>
      </c>
      <c r="K27" s="41">
        <v>35</v>
      </c>
      <c r="L27" s="12">
        <f t="shared" si="4"/>
        <v>87.5</v>
      </c>
      <c r="M27" s="37"/>
      <c r="N27" s="37" t="str">
        <f t="shared" si="5"/>
        <v/>
      </c>
      <c r="O27" s="41">
        <v>32</v>
      </c>
      <c r="P27" s="12">
        <f t="shared" si="6"/>
        <v>80</v>
      </c>
      <c r="Q27" s="12">
        <f t="shared" si="7"/>
        <v>490</v>
      </c>
      <c r="R27" s="17">
        <f t="shared" si="8"/>
        <v>81.666666666666671</v>
      </c>
      <c r="S27" s="41" t="str">
        <f t="shared" si="9"/>
        <v>PASS</v>
      </c>
    </row>
    <row r="28" spans="1:19" ht="18">
      <c r="A28" s="86">
        <v>21</v>
      </c>
      <c r="B28" s="176" t="s">
        <v>494</v>
      </c>
      <c r="C28" s="41">
        <v>32</v>
      </c>
      <c r="D28" s="12">
        <f t="shared" si="0"/>
        <v>80</v>
      </c>
      <c r="E28" s="13">
        <v>30</v>
      </c>
      <c r="F28" s="12">
        <f t="shared" si="1"/>
        <v>75</v>
      </c>
      <c r="G28" s="41">
        <v>14</v>
      </c>
      <c r="H28" s="12">
        <f t="shared" si="2"/>
        <v>35</v>
      </c>
      <c r="I28" s="41">
        <v>24</v>
      </c>
      <c r="J28" s="12">
        <f t="shared" si="3"/>
        <v>60</v>
      </c>
      <c r="K28" s="37">
        <v>33</v>
      </c>
      <c r="L28" s="37">
        <f t="shared" si="4"/>
        <v>82.5</v>
      </c>
      <c r="M28" s="37"/>
      <c r="N28" s="37" t="str">
        <f t="shared" si="5"/>
        <v/>
      </c>
      <c r="O28" s="178">
        <v>32</v>
      </c>
      <c r="P28" s="12">
        <f t="shared" si="6"/>
        <v>80</v>
      </c>
      <c r="Q28" s="12">
        <f t="shared" si="7"/>
        <v>412.5</v>
      </c>
      <c r="R28" s="17">
        <f t="shared" si="8"/>
        <v>68.75</v>
      </c>
      <c r="S28" s="41" t="str">
        <f t="shared" si="9"/>
        <v>PASS</v>
      </c>
    </row>
    <row r="29" spans="1:19" ht="18">
      <c r="A29" s="86">
        <v>22</v>
      </c>
      <c r="B29" s="177" t="s">
        <v>495</v>
      </c>
      <c r="C29" s="41">
        <v>33</v>
      </c>
      <c r="D29" s="12">
        <f t="shared" si="0"/>
        <v>82.5</v>
      </c>
      <c r="E29" s="41">
        <v>27</v>
      </c>
      <c r="F29" s="12">
        <f t="shared" si="1"/>
        <v>67.5</v>
      </c>
      <c r="G29" s="41">
        <v>24</v>
      </c>
      <c r="H29" s="12">
        <f t="shared" si="2"/>
        <v>60</v>
      </c>
      <c r="I29" s="41">
        <v>34</v>
      </c>
      <c r="J29" s="12">
        <f t="shared" si="3"/>
        <v>85</v>
      </c>
      <c r="K29" s="41">
        <v>30</v>
      </c>
      <c r="L29" s="12">
        <f t="shared" si="4"/>
        <v>75</v>
      </c>
      <c r="M29" s="37"/>
      <c r="N29" s="37" t="str">
        <f t="shared" si="5"/>
        <v/>
      </c>
      <c r="O29" s="41">
        <v>33</v>
      </c>
      <c r="P29" s="12">
        <f t="shared" si="6"/>
        <v>82.5</v>
      </c>
      <c r="Q29" s="12">
        <f t="shared" si="7"/>
        <v>452.5</v>
      </c>
      <c r="R29" s="17">
        <f t="shared" si="8"/>
        <v>75.416666666666671</v>
      </c>
      <c r="S29" s="41" t="str">
        <f t="shared" si="9"/>
        <v>PASS</v>
      </c>
    </row>
    <row r="30" spans="1:19" ht="18">
      <c r="A30" s="86">
        <v>23</v>
      </c>
      <c r="B30" s="177" t="s">
        <v>496</v>
      </c>
      <c r="C30" s="41">
        <v>35</v>
      </c>
      <c r="D30" s="12">
        <f t="shared" si="0"/>
        <v>87.5</v>
      </c>
      <c r="E30" s="41">
        <v>29</v>
      </c>
      <c r="F30" s="12">
        <f t="shared" si="1"/>
        <v>72.5</v>
      </c>
      <c r="G30" s="70">
        <v>14</v>
      </c>
      <c r="H30" s="12">
        <f t="shared" si="2"/>
        <v>35</v>
      </c>
      <c r="I30" s="41">
        <v>22</v>
      </c>
      <c r="J30" s="12">
        <f t="shared" si="3"/>
        <v>55.000000000000007</v>
      </c>
      <c r="K30" s="12">
        <v>26</v>
      </c>
      <c r="L30" s="12">
        <f t="shared" si="4"/>
        <v>65</v>
      </c>
      <c r="M30" s="37"/>
      <c r="N30" s="37" t="str">
        <f t="shared" si="5"/>
        <v/>
      </c>
      <c r="O30" s="41">
        <v>27</v>
      </c>
      <c r="P30" s="12">
        <f t="shared" si="6"/>
        <v>67.5</v>
      </c>
      <c r="Q30" s="12">
        <f t="shared" si="7"/>
        <v>382.5</v>
      </c>
      <c r="R30" s="17">
        <f t="shared" si="8"/>
        <v>63.749999999999993</v>
      </c>
      <c r="S30" s="41" t="str">
        <f t="shared" si="9"/>
        <v>PASS</v>
      </c>
    </row>
    <row r="31" spans="1:19" ht="18">
      <c r="A31" s="86">
        <v>24</v>
      </c>
      <c r="B31" s="177" t="s">
        <v>497</v>
      </c>
      <c r="C31" s="41">
        <v>20</v>
      </c>
      <c r="D31" s="12">
        <f t="shared" si="0"/>
        <v>50</v>
      </c>
      <c r="E31" s="41">
        <v>22</v>
      </c>
      <c r="F31" s="12">
        <f t="shared" si="1"/>
        <v>55.000000000000007</v>
      </c>
      <c r="G31" s="41">
        <v>20</v>
      </c>
      <c r="H31" s="12">
        <f t="shared" si="2"/>
        <v>50</v>
      </c>
      <c r="I31" s="41">
        <v>23</v>
      </c>
      <c r="J31" s="12">
        <f t="shared" si="3"/>
        <v>57.499999999999993</v>
      </c>
      <c r="K31" s="41">
        <v>22</v>
      </c>
      <c r="L31" s="12">
        <f t="shared" si="4"/>
        <v>55.000000000000007</v>
      </c>
      <c r="M31" s="37"/>
      <c r="N31" s="37" t="str">
        <f t="shared" si="5"/>
        <v/>
      </c>
      <c r="O31" s="41">
        <v>13</v>
      </c>
      <c r="P31" s="12">
        <f t="shared" si="6"/>
        <v>32.5</v>
      </c>
      <c r="Q31" s="12">
        <f t="shared" si="7"/>
        <v>300</v>
      </c>
      <c r="R31" s="17">
        <f t="shared" si="8"/>
        <v>50</v>
      </c>
      <c r="S31" s="41" t="str">
        <f t="shared" si="9"/>
        <v>PASS</v>
      </c>
    </row>
    <row r="32" spans="1:19" ht="18">
      <c r="A32" s="86">
        <v>25</v>
      </c>
      <c r="B32" s="177" t="s">
        <v>498</v>
      </c>
      <c r="C32" s="41">
        <v>30</v>
      </c>
      <c r="D32" s="12">
        <f t="shared" si="0"/>
        <v>75</v>
      </c>
      <c r="E32" s="41">
        <v>22</v>
      </c>
      <c r="F32" s="12">
        <f t="shared" si="1"/>
        <v>55.000000000000007</v>
      </c>
      <c r="G32" s="151">
        <v>17</v>
      </c>
      <c r="H32" s="12">
        <f t="shared" si="2"/>
        <v>42.5</v>
      </c>
      <c r="I32" s="41">
        <v>23</v>
      </c>
      <c r="J32" s="12">
        <f t="shared" si="3"/>
        <v>57.499999999999993</v>
      </c>
      <c r="K32" s="12">
        <v>32</v>
      </c>
      <c r="L32" s="12">
        <f t="shared" si="4"/>
        <v>80</v>
      </c>
      <c r="M32" s="37"/>
      <c r="N32" s="37" t="str">
        <f t="shared" si="5"/>
        <v/>
      </c>
      <c r="O32" s="41">
        <v>27</v>
      </c>
      <c r="P32" s="12">
        <f t="shared" si="6"/>
        <v>67.5</v>
      </c>
      <c r="Q32" s="12">
        <f t="shared" si="7"/>
        <v>377.5</v>
      </c>
      <c r="R32" s="17">
        <f t="shared" si="8"/>
        <v>62.916666666666664</v>
      </c>
      <c r="S32" s="41" t="str">
        <f t="shared" si="9"/>
        <v>PASS</v>
      </c>
    </row>
    <row r="33" spans="1:19" ht="18">
      <c r="A33" s="86">
        <v>26</v>
      </c>
      <c r="B33" s="177" t="s">
        <v>499</v>
      </c>
      <c r="C33" s="41">
        <v>37</v>
      </c>
      <c r="D33" s="12">
        <f t="shared" si="0"/>
        <v>92.5</v>
      </c>
      <c r="E33" s="41">
        <v>33</v>
      </c>
      <c r="F33" s="12">
        <f t="shared" si="1"/>
        <v>82.5</v>
      </c>
      <c r="G33" s="41">
        <v>24</v>
      </c>
      <c r="H33" s="12">
        <f t="shared" si="2"/>
        <v>60</v>
      </c>
      <c r="I33" s="41">
        <v>31</v>
      </c>
      <c r="J33" s="12">
        <f t="shared" si="3"/>
        <v>77.5</v>
      </c>
      <c r="K33" s="41">
        <v>31</v>
      </c>
      <c r="L33" s="12">
        <f t="shared" si="4"/>
        <v>77.5</v>
      </c>
      <c r="M33" s="37"/>
      <c r="N33" s="37" t="str">
        <f t="shared" si="5"/>
        <v/>
      </c>
      <c r="O33" s="41">
        <v>24</v>
      </c>
      <c r="P33" s="12">
        <f t="shared" si="6"/>
        <v>60</v>
      </c>
      <c r="Q33" s="12">
        <f t="shared" si="7"/>
        <v>450</v>
      </c>
      <c r="R33" s="17">
        <f t="shared" si="8"/>
        <v>75</v>
      </c>
      <c r="S33" s="41" t="str">
        <f t="shared" si="9"/>
        <v>PASS</v>
      </c>
    </row>
    <row r="34" spans="1:19" ht="18">
      <c r="A34" s="86">
        <v>27</v>
      </c>
      <c r="B34" s="177" t="s">
        <v>500</v>
      </c>
      <c r="C34" s="41">
        <v>38</v>
      </c>
      <c r="D34" s="12">
        <f t="shared" si="0"/>
        <v>95</v>
      </c>
      <c r="E34" s="41">
        <v>29</v>
      </c>
      <c r="F34" s="12">
        <f t="shared" si="1"/>
        <v>72.5</v>
      </c>
      <c r="G34" s="41">
        <v>32</v>
      </c>
      <c r="H34" s="12">
        <f t="shared" si="2"/>
        <v>80</v>
      </c>
      <c r="I34" s="41">
        <v>26</v>
      </c>
      <c r="J34" s="12">
        <f t="shared" si="3"/>
        <v>65</v>
      </c>
      <c r="K34" s="41">
        <v>31</v>
      </c>
      <c r="L34" s="12">
        <f t="shared" si="4"/>
        <v>77.5</v>
      </c>
      <c r="M34" s="37"/>
      <c r="N34" s="37" t="str">
        <f t="shared" si="5"/>
        <v/>
      </c>
      <c r="O34" s="41">
        <v>36</v>
      </c>
      <c r="P34" s="12">
        <f t="shared" si="6"/>
        <v>90</v>
      </c>
      <c r="Q34" s="12">
        <f t="shared" si="7"/>
        <v>480</v>
      </c>
      <c r="R34" s="17">
        <f t="shared" si="8"/>
        <v>80</v>
      </c>
      <c r="S34" s="41" t="str">
        <f t="shared" si="9"/>
        <v>PASS</v>
      </c>
    </row>
    <row r="35" spans="1:19" ht="18">
      <c r="A35" s="86">
        <v>28</v>
      </c>
      <c r="B35" s="177" t="s">
        <v>501</v>
      </c>
      <c r="C35" s="41">
        <v>33</v>
      </c>
      <c r="D35" s="12">
        <f t="shared" si="0"/>
        <v>82.5</v>
      </c>
      <c r="E35" s="41">
        <v>33</v>
      </c>
      <c r="F35" s="12">
        <f t="shared" si="1"/>
        <v>82.5</v>
      </c>
      <c r="G35" s="41">
        <v>38</v>
      </c>
      <c r="H35" s="12">
        <f t="shared" si="2"/>
        <v>95</v>
      </c>
      <c r="I35" s="41">
        <v>35</v>
      </c>
      <c r="J35" s="12">
        <f t="shared" si="3"/>
        <v>87.5</v>
      </c>
      <c r="K35" s="41">
        <v>34</v>
      </c>
      <c r="L35" s="12">
        <f t="shared" si="4"/>
        <v>85</v>
      </c>
      <c r="M35" s="37"/>
      <c r="N35" s="37" t="str">
        <f t="shared" si="5"/>
        <v/>
      </c>
      <c r="O35" s="41">
        <v>37</v>
      </c>
      <c r="P35" s="12">
        <f t="shared" si="6"/>
        <v>92.5</v>
      </c>
      <c r="Q35" s="12">
        <f t="shared" si="7"/>
        <v>525</v>
      </c>
      <c r="R35" s="17">
        <f t="shared" si="8"/>
        <v>87.5</v>
      </c>
      <c r="S35" s="41" t="str">
        <f t="shared" si="9"/>
        <v>PASS</v>
      </c>
    </row>
    <row r="36" spans="1:19" ht="18">
      <c r="A36" s="86">
        <v>29</v>
      </c>
      <c r="B36" s="177" t="s">
        <v>502</v>
      </c>
      <c r="C36" s="41">
        <v>37</v>
      </c>
      <c r="D36" s="12">
        <f t="shared" si="0"/>
        <v>92.5</v>
      </c>
      <c r="E36" s="41">
        <v>37</v>
      </c>
      <c r="F36" s="12">
        <f t="shared" si="1"/>
        <v>92.5</v>
      </c>
      <c r="G36" s="41">
        <v>38</v>
      </c>
      <c r="H36" s="12">
        <f t="shared" si="2"/>
        <v>95</v>
      </c>
      <c r="I36" s="41">
        <v>39</v>
      </c>
      <c r="J36" s="12">
        <f t="shared" si="3"/>
        <v>97.5</v>
      </c>
      <c r="K36" s="41">
        <v>40</v>
      </c>
      <c r="L36" s="12">
        <f t="shared" si="4"/>
        <v>100</v>
      </c>
      <c r="M36" s="37"/>
      <c r="N36" s="37" t="str">
        <f t="shared" si="5"/>
        <v/>
      </c>
      <c r="O36" s="41" t="s">
        <v>123</v>
      </c>
      <c r="P36" s="12" t="e">
        <f t="shared" si="6"/>
        <v>#NAME?</v>
      </c>
      <c r="Q36" s="12" t="e">
        <f t="shared" si="7"/>
        <v>#NAME?</v>
      </c>
      <c r="R36" s="17" t="e">
        <f t="shared" si="8"/>
        <v>#NAME?</v>
      </c>
      <c r="S36" s="41" t="e">
        <f t="shared" si="9"/>
        <v>#NAME?</v>
      </c>
    </row>
    <row r="37" spans="1:19" ht="18">
      <c r="A37" s="86">
        <v>30</v>
      </c>
      <c r="B37" s="177" t="s">
        <v>503</v>
      </c>
      <c r="C37" s="41">
        <v>36</v>
      </c>
      <c r="D37" s="12">
        <f t="shared" si="0"/>
        <v>90</v>
      </c>
      <c r="E37" s="22"/>
      <c r="F37" s="37" t="str">
        <f t="shared" si="1"/>
        <v/>
      </c>
      <c r="G37" s="41">
        <v>21</v>
      </c>
      <c r="H37" s="12">
        <f t="shared" si="2"/>
        <v>52.5</v>
      </c>
      <c r="I37" s="41">
        <v>38</v>
      </c>
      <c r="J37" s="12">
        <f t="shared" si="3"/>
        <v>95</v>
      </c>
      <c r="K37" s="22">
        <v>32</v>
      </c>
      <c r="L37" s="37">
        <f t="shared" si="4"/>
        <v>80</v>
      </c>
      <c r="M37" s="36">
        <v>21</v>
      </c>
      <c r="N37" s="37">
        <f t="shared" si="5"/>
        <v>52.5</v>
      </c>
      <c r="O37" s="41">
        <v>29</v>
      </c>
      <c r="P37" s="12">
        <f t="shared" si="6"/>
        <v>72.5</v>
      </c>
      <c r="Q37" s="12">
        <f t="shared" si="7"/>
        <v>442.5</v>
      </c>
      <c r="R37" s="17">
        <f t="shared" si="8"/>
        <v>73.75</v>
      </c>
      <c r="S37" s="41" t="str">
        <f t="shared" si="9"/>
        <v>PASS</v>
      </c>
    </row>
    <row r="38" spans="1:19" ht="18">
      <c r="A38" s="86">
        <v>31</v>
      </c>
      <c r="B38" s="176" t="s">
        <v>504</v>
      </c>
      <c r="C38" s="41">
        <v>27</v>
      </c>
      <c r="D38" s="12">
        <f t="shared" si="0"/>
        <v>67.5</v>
      </c>
      <c r="E38" s="22"/>
      <c r="F38" s="37" t="str">
        <f t="shared" si="1"/>
        <v/>
      </c>
      <c r="G38" s="41">
        <v>26</v>
      </c>
      <c r="H38" s="12">
        <f t="shared" si="2"/>
        <v>65</v>
      </c>
      <c r="I38" s="41">
        <v>25</v>
      </c>
      <c r="J38" s="12">
        <f t="shared" si="3"/>
        <v>62.5</v>
      </c>
      <c r="K38" s="41">
        <v>22</v>
      </c>
      <c r="L38" s="12">
        <f t="shared" si="4"/>
        <v>55.000000000000007</v>
      </c>
      <c r="M38" s="34">
        <v>30</v>
      </c>
      <c r="N38" s="12">
        <f t="shared" si="5"/>
        <v>75</v>
      </c>
      <c r="O38" s="41">
        <v>25</v>
      </c>
      <c r="P38" s="12">
        <f t="shared" si="6"/>
        <v>62.5</v>
      </c>
      <c r="Q38" s="12">
        <f t="shared" si="7"/>
        <v>387.5</v>
      </c>
      <c r="R38" s="17">
        <f t="shared" si="8"/>
        <v>64.583333333333343</v>
      </c>
      <c r="S38" s="41" t="str">
        <f t="shared" si="9"/>
        <v>PASS</v>
      </c>
    </row>
    <row r="39" spans="1:19" ht="18">
      <c r="A39" s="86">
        <v>32</v>
      </c>
      <c r="B39" s="176" t="s">
        <v>505</v>
      </c>
      <c r="C39" s="41">
        <v>23</v>
      </c>
      <c r="D39" s="12">
        <f t="shared" si="0"/>
        <v>57.499999999999993</v>
      </c>
      <c r="E39" s="22"/>
      <c r="F39" s="37" t="str">
        <f t="shared" si="1"/>
        <v/>
      </c>
      <c r="G39" s="41">
        <v>14</v>
      </c>
      <c r="H39" s="70">
        <f t="shared" si="2"/>
        <v>35</v>
      </c>
      <c r="I39" s="41">
        <v>21</v>
      </c>
      <c r="J39" s="70">
        <f t="shared" si="3"/>
        <v>52.5</v>
      </c>
      <c r="K39" s="41">
        <v>17</v>
      </c>
      <c r="L39" s="12">
        <f t="shared" si="4"/>
        <v>42.5</v>
      </c>
      <c r="M39" s="34">
        <v>16</v>
      </c>
      <c r="N39" s="70">
        <f t="shared" si="5"/>
        <v>40</v>
      </c>
      <c r="O39" s="41">
        <v>16</v>
      </c>
      <c r="P39" s="12">
        <f t="shared" si="6"/>
        <v>40</v>
      </c>
      <c r="Q39" s="12">
        <f t="shared" si="7"/>
        <v>267.5</v>
      </c>
      <c r="R39" s="17">
        <f t="shared" si="8"/>
        <v>44.583333333333336</v>
      </c>
      <c r="S39" s="90" t="str">
        <f t="shared" si="9"/>
        <v>PASS</v>
      </c>
    </row>
    <row r="40" spans="1:19" ht="18">
      <c r="A40" s="86">
        <v>33</v>
      </c>
      <c r="B40" s="177" t="s">
        <v>506</v>
      </c>
      <c r="C40" s="41">
        <v>25</v>
      </c>
      <c r="D40" s="12">
        <f t="shared" si="0"/>
        <v>62.5</v>
      </c>
      <c r="E40" s="22"/>
      <c r="F40" s="37" t="str">
        <f t="shared" si="1"/>
        <v/>
      </c>
      <c r="G40" s="41">
        <v>16</v>
      </c>
      <c r="H40" s="12">
        <f t="shared" si="2"/>
        <v>40</v>
      </c>
      <c r="I40" s="41">
        <v>30</v>
      </c>
      <c r="J40" s="12">
        <f t="shared" si="3"/>
        <v>75</v>
      </c>
      <c r="K40" s="41">
        <v>18</v>
      </c>
      <c r="L40" s="12">
        <f t="shared" si="4"/>
        <v>45</v>
      </c>
      <c r="M40" s="34">
        <v>22</v>
      </c>
      <c r="N40" s="12">
        <f t="shared" si="5"/>
        <v>55.000000000000007</v>
      </c>
      <c r="O40" s="41">
        <v>20</v>
      </c>
      <c r="P40" s="12">
        <f t="shared" si="6"/>
        <v>50</v>
      </c>
      <c r="Q40" s="12">
        <f t="shared" si="7"/>
        <v>327.5</v>
      </c>
      <c r="R40" s="17">
        <f t="shared" si="8"/>
        <v>54.583333333333329</v>
      </c>
      <c r="S40" s="41" t="str">
        <f t="shared" si="9"/>
        <v>PASS</v>
      </c>
    </row>
    <row r="41" spans="1:19" ht="18">
      <c r="A41" s="86">
        <v>34</v>
      </c>
      <c r="B41" s="177" t="s">
        <v>507</v>
      </c>
      <c r="C41" s="13">
        <v>34</v>
      </c>
      <c r="D41" s="12">
        <f t="shared" si="0"/>
        <v>85</v>
      </c>
      <c r="E41" s="22"/>
      <c r="F41" s="37" t="str">
        <f t="shared" si="1"/>
        <v/>
      </c>
      <c r="G41" s="41">
        <v>35</v>
      </c>
      <c r="H41" s="12">
        <f t="shared" si="2"/>
        <v>87.5</v>
      </c>
      <c r="I41" s="41">
        <v>35</v>
      </c>
      <c r="J41" s="12">
        <f t="shared" si="3"/>
        <v>87.5</v>
      </c>
      <c r="K41" s="41">
        <v>36</v>
      </c>
      <c r="L41" s="12">
        <f t="shared" si="4"/>
        <v>90</v>
      </c>
      <c r="M41" s="34">
        <v>38</v>
      </c>
      <c r="N41" s="12">
        <f t="shared" si="5"/>
        <v>95</v>
      </c>
      <c r="O41" s="41">
        <v>39</v>
      </c>
      <c r="P41" s="12">
        <f t="shared" si="6"/>
        <v>97.5</v>
      </c>
      <c r="Q41" s="12">
        <f t="shared" si="7"/>
        <v>542.5</v>
      </c>
      <c r="R41" s="17">
        <f t="shared" si="8"/>
        <v>90.416666666666671</v>
      </c>
      <c r="S41" s="41" t="str">
        <f t="shared" si="9"/>
        <v>PASS</v>
      </c>
    </row>
    <row r="42" spans="1:19" ht="18">
      <c r="A42" s="86">
        <v>35</v>
      </c>
      <c r="B42" s="177" t="s">
        <v>508</v>
      </c>
      <c r="C42" s="41">
        <v>32</v>
      </c>
      <c r="D42" s="12">
        <f t="shared" si="0"/>
        <v>80</v>
      </c>
      <c r="E42" s="22"/>
      <c r="F42" s="37" t="str">
        <f t="shared" si="1"/>
        <v/>
      </c>
      <c r="G42" s="41">
        <v>30</v>
      </c>
      <c r="H42" s="12">
        <f t="shared" si="2"/>
        <v>75</v>
      </c>
      <c r="I42" s="41">
        <v>38</v>
      </c>
      <c r="J42" s="12">
        <f t="shared" si="3"/>
        <v>95</v>
      </c>
      <c r="K42" s="41">
        <v>32</v>
      </c>
      <c r="L42" s="12">
        <f t="shared" si="4"/>
        <v>80</v>
      </c>
      <c r="M42" s="34">
        <v>28</v>
      </c>
      <c r="N42" s="12">
        <f t="shared" si="5"/>
        <v>70</v>
      </c>
      <c r="O42" s="41">
        <v>27</v>
      </c>
      <c r="P42" s="12">
        <f t="shared" si="6"/>
        <v>67.5</v>
      </c>
      <c r="Q42" s="12">
        <f t="shared" si="7"/>
        <v>467.5</v>
      </c>
      <c r="R42" s="17">
        <f t="shared" si="8"/>
        <v>77.916666666666671</v>
      </c>
      <c r="S42" s="41" t="str">
        <f t="shared" si="9"/>
        <v>PASS</v>
      </c>
    </row>
    <row r="43" spans="1:19" ht="18">
      <c r="A43" s="86">
        <v>36</v>
      </c>
      <c r="B43" s="176" t="s">
        <v>509</v>
      </c>
      <c r="C43" s="41">
        <v>29</v>
      </c>
      <c r="D43" s="12">
        <f t="shared" si="0"/>
        <v>72.5</v>
      </c>
      <c r="E43" s="22"/>
      <c r="F43" s="37" t="str">
        <f t="shared" si="1"/>
        <v/>
      </c>
      <c r="G43" s="41">
        <v>33</v>
      </c>
      <c r="H43" s="12">
        <f t="shared" si="2"/>
        <v>82.5</v>
      </c>
      <c r="I43" s="41">
        <v>30</v>
      </c>
      <c r="J43" s="12">
        <f t="shared" si="3"/>
        <v>75</v>
      </c>
      <c r="K43" s="41">
        <v>36</v>
      </c>
      <c r="L43" s="12">
        <f t="shared" si="4"/>
        <v>90</v>
      </c>
      <c r="M43" s="34">
        <v>31</v>
      </c>
      <c r="N43" s="12">
        <f t="shared" si="5"/>
        <v>77.5</v>
      </c>
      <c r="O43" s="41">
        <v>27</v>
      </c>
      <c r="P43" s="12">
        <f t="shared" si="6"/>
        <v>67.5</v>
      </c>
      <c r="Q43" s="12">
        <f t="shared" si="7"/>
        <v>465</v>
      </c>
      <c r="R43" s="17">
        <f t="shared" si="8"/>
        <v>77.5</v>
      </c>
      <c r="S43" s="22"/>
    </row>
    <row r="44" spans="1:19" ht="18">
      <c r="A44" s="86">
        <v>37</v>
      </c>
      <c r="B44" s="177" t="s">
        <v>510</v>
      </c>
      <c r="C44" s="41">
        <v>15</v>
      </c>
      <c r="D44" s="12">
        <f t="shared" si="0"/>
        <v>37.5</v>
      </c>
      <c r="E44" s="22"/>
      <c r="F44" s="37" t="str">
        <f t="shared" si="1"/>
        <v/>
      </c>
      <c r="G44" s="41">
        <v>14</v>
      </c>
      <c r="H44" s="12">
        <f t="shared" si="2"/>
        <v>35</v>
      </c>
      <c r="I44" s="41">
        <v>8</v>
      </c>
      <c r="J44" s="12">
        <f t="shared" si="3"/>
        <v>20</v>
      </c>
      <c r="K44" s="41">
        <v>22</v>
      </c>
      <c r="L44" s="12">
        <f t="shared" si="4"/>
        <v>55.000000000000007</v>
      </c>
      <c r="M44" s="34">
        <v>10</v>
      </c>
      <c r="N44" s="70">
        <f t="shared" si="5"/>
        <v>25</v>
      </c>
      <c r="O44" s="41">
        <v>13</v>
      </c>
      <c r="P44" s="70">
        <f t="shared" si="6"/>
        <v>32.5</v>
      </c>
      <c r="Q44" s="12">
        <f t="shared" si="7"/>
        <v>205</v>
      </c>
      <c r="R44" s="17">
        <f t="shared" si="8"/>
        <v>34.166666666666664</v>
      </c>
      <c r="S44" s="22"/>
    </row>
    <row r="45" spans="1:19" ht="18">
      <c r="A45" s="86">
        <v>38</v>
      </c>
      <c r="B45" s="177" t="s">
        <v>511</v>
      </c>
      <c r="C45" s="41">
        <v>18</v>
      </c>
      <c r="D45" s="12">
        <f t="shared" si="0"/>
        <v>45</v>
      </c>
      <c r="E45" s="22"/>
      <c r="F45" s="37" t="str">
        <f t="shared" si="1"/>
        <v/>
      </c>
      <c r="G45" s="41">
        <v>15</v>
      </c>
      <c r="H45" s="12">
        <f t="shared" si="2"/>
        <v>37.5</v>
      </c>
      <c r="I45" s="41">
        <v>14</v>
      </c>
      <c r="J45" s="12">
        <f t="shared" si="3"/>
        <v>35</v>
      </c>
      <c r="K45" s="41">
        <v>18</v>
      </c>
      <c r="L45" s="12">
        <f t="shared" si="4"/>
        <v>45</v>
      </c>
      <c r="M45" s="34">
        <v>17</v>
      </c>
      <c r="N45" s="12">
        <f t="shared" si="5"/>
        <v>42.5</v>
      </c>
      <c r="O45" s="41">
        <v>10</v>
      </c>
      <c r="P45" s="70">
        <f t="shared" si="6"/>
        <v>25</v>
      </c>
      <c r="Q45" s="12">
        <f t="shared" si="7"/>
        <v>230</v>
      </c>
      <c r="R45" s="17">
        <f t="shared" si="8"/>
        <v>38.333333333333336</v>
      </c>
      <c r="S45" s="22"/>
    </row>
    <row r="46" spans="1:19" ht="18">
      <c r="A46" s="86">
        <v>39</v>
      </c>
      <c r="B46" s="177" t="s">
        <v>512</v>
      </c>
      <c r="C46" s="41">
        <v>17</v>
      </c>
      <c r="D46" s="12">
        <f t="shared" si="0"/>
        <v>42.5</v>
      </c>
      <c r="E46" s="22"/>
      <c r="F46" s="37" t="str">
        <f t="shared" si="1"/>
        <v/>
      </c>
      <c r="G46" s="41">
        <v>14</v>
      </c>
      <c r="H46" s="12">
        <f t="shared" si="2"/>
        <v>35</v>
      </c>
      <c r="I46" s="41">
        <v>15</v>
      </c>
      <c r="J46" s="12">
        <f t="shared" si="3"/>
        <v>37.5</v>
      </c>
      <c r="K46" s="22">
        <v>24</v>
      </c>
      <c r="L46" s="37">
        <f t="shared" si="4"/>
        <v>60</v>
      </c>
      <c r="M46" s="34">
        <v>14</v>
      </c>
      <c r="N46" s="12">
        <f t="shared" si="5"/>
        <v>35</v>
      </c>
      <c r="O46" s="178">
        <v>17</v>
      </c>
      <c r="P46" s="12">
        <f t="shared" si="6"/>
        <v>42.5</v>
      </c>
      <c r="Q46" s="12">
        <f t="shared" si="7"/>
        <v>252.5</v>
      </c>
      <c r="R46" s="17">
        <f t="shared" si="8"/>
        <v>42.083333333333336</v>
      </c>
      <c r="S46" s="41" t="str">
        <f>IF(R46=0,"",IF(V46="FAIL","FAIL","PASS"))</f>
        <v>PASS</v>
      </c>
    </row>
    <row r="47" spans="1:19" ht="18">
      <c r="A47" s="86">
        <v>40</v>
      </c>
      <c r="B47" s="177" t="s">
        <v>513</v>
      </c>
      <c r="C47" s="41">
        <v>38</v>
      </c>
      <c r="D47" s="12">
        <f t="shared" si="0"/>
        <v>95</v>
      </c>
      <c r="E47" s="22"/>
      <c r="F47" s="37" t="str">
        <f t="shared" si="1"/>
        <v/>
      </c>
      <c r="G47" s="41">
        <v>31</v>
      </c>
      <c r="H47" s="12">
        <f t="shared" si="2"/>
        <v>77.5</v>
      </c>
      <c r="I47" s="41">
        <v>33</v>
      </c>
      <c r="J47" s="12">
        <f t="shared" si="3"/>
        <v>82.5</v>
      </c>
      <c r="K47" s="41">
        <v>34</v>
      </c>
      <c r="L47" s="12">
        <f t="shared" si="4"/>
        <v>85</v>
      </c>
      <c r="M47" s="34">
        <v>26</v>
      </c>
      <c r="N47" s="12">
        <f t="shared" si="5"/>
        <v>65</v>
      </c>
      <c r="O47" s="41">
        <v>34</v>
      </c>
      <c r="P47" s="12">
        <f t="shared" si="6"/>
        <v>85</v>
      </c>
      <c r="Q47" s="12">
        <f t="shared" si="7"/>
        <v>490</v>
      </c>
      <c r="R47" s="17">
        <f t="shared" si="8"/>
        <v>81.666666666666671</v>
      </c>
      <c r="S47" s="22"/>
    </row>
    <row r="48" spans="1:19" ht="18">
      <c r="A48" s="86">
        <v>41</v>
      </c>
      <c r="B48" s="177" t="s">
        <v>514</v>
      </c>
      <c r="C48" s="41">
        <v>24</v>
      </c>
      <c r="D48" s="12">
        <f t="shared" si="0"/>
        <v>60</v>
      </c>
      <c r="E48" s="22"/>
      <c r="F48" s="37" t="str">
        <f t="shared" si="1"/>
        <v/>
      </c>
      <c r="G48" s="41">
        <v>21</v>
      </c>
      <c r="H48" s="12">
        <f t="shared" si="2"/>
        <v>52.5</v>
      </c>
      <c r="I48" s="41">
        <v>19</v>
      </c>
      <c r="J48" s="12">
        <f t="shared" si="3"/>
        <v>47.5</v>
      </c>
      <c r="K48" s="41">
        <v>19</v>
      </c>
      <c r="L48" s="12">
        <f t="shared" si="4"/>
        <v>47.5</v>
      </c>
      <c r="M48" s="34">
        <v>20</v>
      </c>
      <c r="N48" s="12">
        <f t="shared" si="5"/>
        <v>50</v>
      </c>
      <c r="O48" s="41">
        <v>15</v>
      </c>
      <c r="P48" s="12">
        <f t="shared" si="6"/>
        <v>37.5</v>
      </c>
      <c r="Q48" s="12">
        <f t="shared" si="7"/>
        <v>295</v>
      </c>
      <c r="R48" s="17">
        <f t="shared" si="8"/>
        <v>49.166666666666664</v>
      </c>
      <c r="S48" s="41" t="str">
        <f t="shared" ref="S48:S59" si="10">IF(R48=0,"",IF(V48="FAIL","FAIL","PASS"))</f>
        <v>PASS</v>
      </c>
    </row>
    <row r="49" spans="1:19" ht="18">
      <c r="A49" s="86">
        <v>42</v>
      </c>
      <c r="B49" s="177" t="s">
        <v>515</v>
      </c>
      <c r="C49" s="41">
        <v>25</v>
      </c>
      <c r="D49" s="12">
        <f t="shared" si="0"/>
        <v>62.5</v>
      </c>
      <c r="E49" s="22"/>
      <c r="F49" s="37" t="str">
        <f t="shared" si="1"/>
        <v/>
      </c>
      <c r="G49" s="41">
        <v>14</v>
      </c>
      <c r="H49" s="12">
        <f t="shared" si="2"/>
        <v>35</v>
      </c>
      <c r="I49" s="41">
        <v>23</v>
      </c>
      <c r="J49" s="12">
        <f t="shared" si="3"/>
        <v>57.499999999999993</v>
      </c>
      <c r="K49" s="41">
        <v>27</v>
      </c>
      <c r="L49" s="12">
        <f t="shared" si="4"/>
        <v>67.5</v>
      </c>
      <c r="M49" s="34">
        <v>21</v>
      </c>
      <c r="N49" s="12">
        <f t="shared" si="5"/>
        <v>52.5</v>
      </c>
      <c r="O49" s="41">
        <v>27</v>
      </c>
      <c r="P49" s="12">
        <f t="shared" si="6"/>
        <v>67.5</v>
      </c>
      <c r="Q49" s="12">
        <f t="shared" si="7"/>
        <v>342.5</v>
      </c>
      <c r="R49" s="17">
        <f t="shared" si="8"/>
        <v>57.083333333333329</v>
      </c>
      <c r="S49" s="41" t="str">
        <f t="shared" si="10"/>
        <v>PASS</v>
      </c>
    </row>
    <row r="50" spans="1:19" ht="18">
      <c r="A50" s="86">
        <v>43</v>
      </c>
      <c r="B50" s="177" t="s">
        <v>516</v>
      </c>
      <c r="C50" s="41">
        <v>20</v>
      </c>
      <c r="D50" s="12">
        <f t="shared" si="0"/>
        <v>50</v>
      </c>
      <c r="E50" s="22"/>
      <c r="F50" s="37" t="str">
        <f t="shared" si="1"/>
        <v/>
      </c>
      <c r="G50" s="41">
        <v>15</v>
      </c>
      <c r="H50" s="70">
        <f t="shared" si="2"/>
        <v>37.5</v>
      </c>
      <c r="I50" s="41">
        <v>17</v>
      </c>
      <c r="J50" s="12">
        <f t="shared" si="3"/>
        <v>42.5</v>
      </c>
      <c r="K50" s="41">
        <v>23</v>
      </c>
      <c r="L50" s="12">
        <f t="shared" si="4"/>
        <v>57.499999999999993</v>
      </c>
      <c r="M50" s="34">
        <v>15</v>
      </c>
      <c r="N50" s="12">
        <f t="shared" si="5"/>
        <v>37.5</v>
      </c>
      <c r="O50" s="12">
        <v>26</v>
      </c>
      <c r="P50" s="12">
        <f t="shared" si="6"/>
        <v>65</v>
      </c>
      <c r="Q50" s="12">
        <f t="shared" si="7"/>
        <v>290</v>
      </c>
      <c r="R50" s="17">
        <f t="shared" si="8"/>
        <v>48.333333333333336</v>
      </c>
      <c r="S50" s="90" t="str">
        <f t="shared" si="10"/>
        <v>PASS</v>
      </c>
    </row>
    <row r="51" spans="1:19" ht="18">
      <c r="A51" s="86">
        <v>44</v>
      </c>
      <c r="B51" s="179" t="s">
        <v>517</v>
      </c>
      <c r="C51" s="41">
        <v>22</v>
      </c>
      <c r="D51" s="12">
        <f t="shared" si="0"/>
        <v>55.000000000000007</v>
      </c>
      <c r="E51" s="22"/>
      <c r="F51" s="37" t="str">
        <f t="shared" si="1"/>
        <v/>
      </c>
      <c r="G51" s="41">
        <v>15</v>
      </c>
      <c r="H51" s="70">
        <f t="shared" si="2"/>
        <v>37.5</v>
      </c>
      <c r="I51" s="41">
        <v>22</v>
      </c>
      <c r="J51" s="12">
        <f t="shared" si="3"/>
        <v>55.000000000000007</v>
      </c>
      <c r="K51" s="41">
        <v>18</v>
      </c>
      <c r="L51" s="12">
        <f t="shared" si="4"/>
        <v>45</v>
      </c>
      <c r="M51" s="34">
        <v>19</v>
      </c>
      <c r="N51" s="12">
        <f t="shared" si="5"/>
        <v>47.5</v>
      </c>
      <c r="O51" s="12">
        <v>25</v>
      </c>
      <c r="P51" s="70">
        <f t="shared" si="6"/>
        <v>62.5</v>
      </c>
      <c r="Q51" s="12">
        <f t="shared" si="7"/>
        <v>302.5</v>
      </c>
      <c r="R51" s="17">
        <f t="shared" si="8"/>
        <v>50.416666666666664</v>
      </c>
      <c r="S51" s="90" t="str">
        <f t="shared" si="10"/>
        <v>PASS</v>
      </c>
    </row>
    <row r="52" spans="1:19" ht="18">
      <c r="A52" s="86">
        <v>44</v>
      </c>
      <c r="B52" s="22"/>
      <c r="C52" s="22"/>
      <c r="D52" s="37"/>
      <c r="E52" s="22"/>
      <c r="F52" s="37"/>
      <c r="G52" s="22"/>
      <c r="H52" s="38"/>
      <c r="I52" s="22"/>
      <c r="J52" s="40"/>
      <c r="K52" s="22"/>
      <c r="L52" s="37" t="str">
        <f t="shared" si="4"/>
        <v/>
      </c>
      <c r="M52" s="37"/>
      <c r="N52" s="37"/>
      <c r="O52" s="37"/>
      <c r="P52" s="37"/>
      <c r="Q52" s="37"/>
      <c r="R52" s="39"/>
      <c r="S52" s="22" t="str">
        <f t="shared" si="10"/>
        <v/>
      </c>
    </row>
    <row r="53" spans="1:19" ht="18">
      <c r="A53" s="86">
        <v>45</v>
      </c>
      <c r="B53" s="22"/>
      <c r="C53" s="22"/>
      <c r="D53" s="37"/>
      <c r="E53" s="22"/>
      <c r="F53" s="37"/>
      <c r="G53" s="22"/>
      <c r="H53" s="38"/>
      <c r="I53" s="22"/>
      <c r="J53" s="40"/>
      <c r="K53" s="22"/>
      <c r="L53" s="37"/>
      <c r="M53" s="37"/>
      <c r="N53" s="37"/>
      <c r="O53" s="37"/>
      <c r="P53" s="37"/>
      <c r="Q53" s="37"/>
      <c r="R53" s="39"/>
      <c r="S53" s="22" t="str">
        <f t="shared" si="10"/>
        <v/>
      </c>
    </row>
    <row r="54" spans="1:19" ht="18">
      <c r="A54" s="86">
        <v>46</v>
      </c>
      <c r="B54" s="22"/>
      <c r="C54" s="22"/>
      <c r="D54" s="37"/>
      <c r="E54" s="22"/>
      <c r="F54" s="37"/>
      <c r="G54" s="22"/>
      <c r="H54" s="38"/>
      <c r="I54" s="22"/>
      <c r="J54" s="40"/>
      <c r="K54" s="22"/>
      <c r="L54" s="37"/>
      <c r="M54" s="37"/>
      <c r="N54" s="37"/>
      <c r="O54" s="37"/>
      <c r="P54" s="37"/>
      <c r="Q54" s="37"/>
      <c r="R54" s="39"/>
      <c r="S54" s="22" t="str">
        <f t="shared" si="10"/>
        <v/>
      </c>
    </row>
    <row r="55" spans="1:19" ht="18">
      <c r="A55" s="86">
        <v>47</v>
      </c>
      <c r="B55" s="22"/>
      <c r="C55" s="37"/>
      <c r="D55" s="37"/>
      <c r="E55" s="37"/>
      <c r="F55" s="37"/>
      <c r="G55" s="38"/>
      <c r="H55" s="38"/>
      <c r="I55" s="22"/>
      <c r="J55" s="40"/>
      <c r="K55" s="37"/>
      <c r="L55" s="37"/>
      <c r="M55" s="37"/>
      <c r="N55" s="37"/>
      <c r="O55" s="37"/>
      <c r="P55" s="37"/>
      <c r="Q55" s="37"/>
      <c r="R55" s="39"/>
      <c r="S55" s="22" t="str">
        <f t="shared" si="10"/>
        <v/>
      </c>
    </row>
    <row r="56" spans="1:19" ht="18">
      <c r="A56" s="86">
        <v>48</v>
      </c>
      <c r="B56" s="22"/>
      <c r="C56" s="37"/>
      <c r="D56" s="37"/>
      <c r="E56" s="37"/>
      <c r="F56" s="37"/>
      <c r="G56" s="38"/>
      <c r="H56" s="38"/>
      <c r="I56" s="22"/>
      <c r="J56" s="40"/>
      <c r="K56" s="37"/>
      <c r="L56" s="37"/>
      <c r="M56" s="37"/>
      <c r="N56" s="37"/>
      <c r="O56" s="37"/>
      <c r="P56" s="37"/>
      <c r="Q56" s="37"/>
      <c r="R56" s="39"/>
      <c r="S56" s="22" t="str">
        <f t="shared" si="10"/>
        <v/>
      </c>
    </row>
    <row r="57" spans="1:19" ht="18">
      <c r="A57" s="86">
        <v>49</v>
      </c>
      <c r="B57" s="22"/>
      <c r="C57" s="37"/>
      <c r="D57" s="37"/>
      <c r="E57" s="37"/>
      <c r="F57" s="37"/>
      <c r="G57" s="38"/>
      <c r="H57" s="38"/>
      <c r="I57" s="22"/>
      <c r="J57" s="40"/>
      <c r="K57" s="37"/>
      <c r="L57" s="37"/>
      <c r="M57" s="37"/>
      <c r="N57" s="37"/>
      <c r="O57" s="37"/>
      <c r="P57" s="37"/>
      <c r="Q57" s="37"/>
      <c r="R57" s="39"/>
      <c r="S57" s="22" t="str">
        <f t="shared" si="10"/>
        <v/>
      </c>
    </row>
    <row r="58" spans="1:19" ht="18">
      <c r="A58" s="86">
        <v>50</v>
      </c>
      <c r="B58" s="22"/>
      <c r="C58" s="37"/>
      <c r="D58" s="37"/>
      <c r="E58" s="37"/>
      <c r="F58" s="37"/>
      <c r="G58" s="38"/>
      <c r="H58" s="38"/>
      <c r="I58" s="22"/>
      <c r="J58" s="40"/>
      <c r="K58" s="37"/>
      <c r="L58" s="37"/>
      <c r="M58" s="37"/>
      <c r="N58" s="37"/>
      <c r="O58" s="37"/>
      <c r="P58" s="37"/>
      <c r="Q58" s="37"/>
      <c r="R58" s="39"/>
      <c r="S58" s="22" t="str">
        <f t="shared" si="10"/>
        <v/>
      </c>
    </row>
    <row r="59" spans="1:19" ht="18">
      <c r="A59" s="86">
        <v>51</v>
      </c>
      <c r="B59" s="22"/>
      <c r="C59" s="37"/>
      <c r="D59" s="37"/>
      <c r="E59" s="37"/>
      <c r="F59" s="37"/>
      <c r="G59" s="38"/>
      <c r="H59" s="38"/>
      <c r="I59" s="22"/>
      <c r="J59" s="40"/>
      <c r="K59" s="37"/>
      <c r="L59" s="37"/>
      <c r="M59" s="37"/>
      <c r="N59" s="37"/>
      <c r="O59" s="37"/>
      <c r="P59" s="37"/>
      <c r="Q59" s="37"/>
      <c r="R59" s="39"/>
      <c r="S59" s="22" t="str">
        <f t="shared" si="10"/>
        <v/>
      </c>
    </row>
    <row r="60" spans="1:19" ht="18">
      <c r="A60" s="361" t="s">
        <v>70</v>
      </c>
      <c r="B60" s="362"/>
      <c r="C60" s="42">
        <f>IF(C63=0,"",SUM(C8:C59)/C63)</f>
        <v>29.772727272727273</v>
      </c>
      <c r="D60" s="12">
        <f>IF(C60="","",IF(C60="AB",AB,IF(C60="TC","TC",(C60/D$6)*100)))</f>
        <v>74.431818181818187</v>
      </c>
      <c r="E60" s="42">
        <f>IF(E63=0,"",SUM(E8:E59)/E63)</f>
        <v>28.172413793103448</v>
      </c>
      <c r="F60" s="42">
        <f>IF(E60="","",IF(E60="AB",AB,IF(E60="TC","TC",(E60/F$6)*100)))</f>
        <v>70.431034482758619</v>
      </c>
      <c r="G60" s="42">
        <f>IF(G63=0,"",SUM(G8:G59)/G63)</f>
        <v>22.886363636363637</v>
      </c>
      <c r="H60" s="42">
        <f>IF(G60="","",IF(G60="AB",AB,IF(G60="TC","TC",(G60/H$6)*100)))</f>
        <v>57.215909090909086</v>
      </c>
      <c r="I60" s="42">
        <f>IF(I63=0,"",SUM(I8:I59)/I63)</f>
        <v>28.772727272727273</v>
      </c>
      <c r="J60" s="42">
        <f>IF(I60="","",IF(I60="AB",AB,IF(I60="TC","TC",(I60/J$6)*100)))</f>
        <v>71.931818181818187</v>
      </c>
      <c r="K60" s="42">
        <f>IF(K63=0,"",SUM(K8:K59)/K63)</f>
        <v>29</v>
      </c>
      <c r="L60" s="42">
        <f>IF(K60="","",IF(K60="AB",AB,IF(K60="TC","TC",(K60/L$6)*100)))</f>
        <v>72.5</v>
      </c>
      <c r="M60" s="42">
        <f>IF(M63=0,"",SUM(M8:M59)/M63)</f>
        <v>21.866666666666667</v>
      </c>
      <c r="N60" s="42">
        <f>IF(M60="","",IF(M60="AB",AB,IF(M60="TC","TC",(M60/N$6)*100)))</f>
        <v>54.666666666666664</v>
      </c>
      <c r="O60" s="42">
        <f>IF(O63=0,"",SUM(O8:O59)/O63)</f>
        <v>27.604651162790699</v>
      </c>
      <c r="P60" s="12">
        <f>IF(O60="","",IF(O60="AB","AB",IF(O60="TC","TC",(O60/P$6)*100)))</f>
        <v>69.011627906976742</v>
      </c>
      <c r="Q60" s="42" t="e">
        <f>IF(Q63=0,"",SUM(Q8:Q59)/Q63)</f>
        <v>#NAME?</v>
      </c>
      <c r="R60" s="42" t="e">
        <f>IF(Q63=0,"",SUM(R8:R59)/Q63)</f>
        <v>#NAME?</v>
      </c>
      <c r="S60" s="22"/>
    </row>
    <row r="61" spans="1:19" ht="34.799999999999997">
      <c r="A61" s="387" t="s">
        <v>71</v>
      </c>
      <c r="B61" s="107" t="s">
        <v>72</v>
      </c>
      <c r="C61" s="359">
        <f>COUNT(C8:C51)</f>
        <v>44</v>
      </c>
      <c r="D61" s="360"/>
      <c r="E61" s="359">
        <f>COUNT(E8:E51)</f>
        <v>29</v>
      </c>
      <c r="F61" s="360"/>
      <c r="G61" s="359">
        <f>COUNT(G8:G51)</f>
        <v>44</v>
      </c>
      <c r="H61" s="360"/>
      <c r="I61" s="359">
        <f>COUNT(I8:I51)</f>
        <v>44</v>
      </c>
      <c r="J61" s="360"/>
      <c r="K61" s="359">
        <f>COUNT(K8:K51)</f>
        <v>44</v>
      </c>
      <c r="L61" s="360"/>
      <c r="M61" s="359">
        <f>COUNT(M8:M51)</f>
        <v>15</v>
      </c>
      <c r="N61" s="360"/>
      <c r="O61" s="359">
        <f>COUNT(O8:O51)</f>
        <v>43</v>
      </c>
      <c r="P61" s="360"/>
      <c r="Q61" s="359" t="s">
        <v>15</v>
      </c>
      <c r="R61" s="378"/>
      <c r="S61" s="360"/>
    </row>
    <row r="62" spans="1:19" ht="17.399999999999999">
      <c r="A62" s="381"/>
      <c r="B62" s="45" t="s">
        <v>73</v>
      </c>
      <c r="C62" s="361">
        <f>C61-C63</f>
        <v>0</v>
      </c>
      <c r="D62" s="362"/>
      <c r="E62" s="361">
        <f>E61-E63</f>
        <v>0</v>
      </c>
      <c r="F62" s="362"/>
      <c r="G62" s="361">
        <f>G61-G63</f>
        <v>0</v>
      </c>
      <c r="H62" s="362"/>
      <c r="I62" s="361">
        <f>I61-I63</f>
        <v>0</v>
      </c>
      <c r="J62" s="362"/>
      <c r="K62" s="361">
        <f>K61-K63</f>
        <v>0</v>
      </c>
      <c r="L62" s="362"/>
      <c r="M62" s="361">
        <f>M61-M63</f>
        <v>0</v>
      </c>
      <c r="N62" s="362"/>
      <c r="O62" s="361">
        <f>O61-O63</f>
        <v>0</v>
      </c>
      <c r="P62" s="362"/>
      <c r="Q62" s="361">
        <f>COUNTIF(T8:T59,0)</f>
        <v>0</v>
      </c>
      <c r="R62" s="364"/>
      <c r="S62" s="362"/>
    </row>
    <row r="63" spans="1:19" ht="17.399999999999999">
      <c r="A63" s="381"/>
      <c r="B63" s="46" t="s">
        <v>74</v>
      </c>
      <c r="C63" s="361">
        <f>COUNTIFS(D8:D58,"&gt;0")</f>
        <v>44</v>
      </c>
      <c r="D63" s="362"/>
      <c r="E63" s="361">
        <f>COUNTIFS(F8:F59,"&gt;0")</f>
        <v>29</v>
      </c>
      <c r="F63" s="362"/>
      <c r="G63" s="361">
        <f>COUNTIFS(H8:H59,"&gt;0")</f>
        <v>44</v>
      </c>
      <c r="H63" s="362"/>
      <c r="I63" s="361">
        <f>COUNTIFS(J8:J59,"&gt;0")</f>
        <v>44</v>
      </c>
      <c r="J63" s="362"/>
      <c r="K63" s="361">
        <f>COUNTIFS(L8:L59,"&gt;0")</f>
        <v>44</v>
      </c>
      <c r="L63" s="362"/>
      <c r="M63" s="361">
        <f>COUNTIFS(N8:N59,"&gt;0")</f>
        <v>15</v>
      </c>
      <c r="N63" s="362"/>
      <c r="O63" s="361">
        <f>COUNTIFS(P8:P59,"&gt;0")</f>
        <v>43</v>
      </c>
      <c r="P63" s="362"/>
      <c r="Q63" s="361">
        <f>COUNTIFS(R8:R59,"&gt;0")</f>
        <v>43</v>
      </c>
      <c r="R63" s="364"/>
      <c r="S63" s="362"/>
    </row>
    <row r="64" spans="1:19" ht="17.399999999999999">
      <c r="A64" s="381"/>
      <c r="B64" s="46" t="s">
        <v>75</v>
      </c>
      <c r="C64" s="361">
        <f>C63-C66</f>
        <v>44</v>
      </c>
      <c r="D64" s="362"/>
      <c r="E64" s="361">
        <f>E63-E66</f>
        <v>29</v>
      </c>
      <c r="F64" s="362"/>
      <c r="G64" s="361">
        <f>G63-G66</f>
        <v>44</v>
      </c>
      <c r="H64" s="362"/>
      <c r="I64" s="361">
        <f>I63-I66</f>
        <v>43</v>
      </c>
      <c r="J64" s="362"/>
      <c r="K64" s="361">
        <f>K63-K66</f>
        <v>44</v>
      </c>
      <c r="L64" s="362"/>
      <c r="M64" s="361">
        <f>M63-M66</f>
        <v>14</v>
      </c>
      <c r="N64" s="362"/>
      <c r="O64" s="361">
        <f>O63-O66</f>
        <v>42</v>
      </c>
      <c r="P64" s="362"/>
      <c r="Q64" s="372"/>
      <c r="R64" s="364"/>
      <c r="S64" s="362"/>
    </row>
    <row r="65" spans="1:19" ht="17.399999999999999">
      <c r="A65" s="381"/>
      <c r="B65" s="46" t="s">
        <v>76</v>
      </c>
      <c r="C65" s="363">
        <f>IF(C63=0,"",(C64/C63)*100)</f>
        <v>100</v>
      </c>
      <c r="D65" s="362"/>
      <c r="E65" s="363">
        <f>IF(E63=0,"",(E64/E63)*100)</f>
        <v>100</v>
      </c>
      <c r="F65" s="362"/>
      <c r="G65" s="363">
        <f>IF(G63=0,"",(G64/G63)*100)</f>
        <v>100</v>
      </c>
      <c r="H65" s="362"/>
      <c r="I65" s="363">
        <f>IF(I63=0,"",(I64/I63)*100)</f>
        <v>97.727272727272734</v>
      </c>
      <c r="J65" s="362"/>
      <c r="K65" s="363">
        <f>IF(K63=0,"",(K64/K63)*100)</f>
        <v>100</v>
      </c>
      <c r="L65" s="362"/>
      <c r="M65" s="363">
        <f>IF(M63=0,"",(M64/M63)*100)</f>
        <v>93.333333333333329</v>
      </c>
      <c r="N65" s="362"/>
      <c r="O65" s="363">
        <f>IF(O63=0,"",(O64/O63)*100)</f>
        <v>97.674418604651152</v>
      </c>
      <c r="P65" s="362"/>
      <c r="Q65" s="363">
        <f>IF(Q63=0,"",(Q64/Q63)*100)</f>
        <v>0</v>
      </c>
      <c r="R65" s="364"/>
      <c r="S65" s="362"/>
    </row>
    <row r="66" spans="1:19" ht="17.399999999999999">
      <c r="A66" s="381"/>
      <c r="B66" s="46" t="s">
        <v>77</v>
      </c>
      <c r="C66" s="361">
        <f>COUNTIFS(D8:D59,"&lt;=32",D8:D59,"&gt; 0")</f>
        <v>0</v>
      </c>
      <c r="D66" s="362"/>
      <c r="E66" s="361">
        <f>COUNTIFS(F8:F59,"&lt;=32",F8:F59,"&gt; 0")</f>
        <v>0</v>
      </c>
      <c r="F66" s="362"/>
      <c r="G66" s="361">
        <f>COUNTIFS(H8:H59,"&lt;=32",H8:H59,"&gt; 0")</f>
        <v>0</v>
      </c>
      <c r="H66" s="362"/>
      <c r="I66" s="361">
        <f>COUNTIFS(J8:J59,"&lt;=32",J8:J59,"&gt; 0")</f>
        <v>1</v>
      </c>
      <c r="J66" s="362"/>
      <c r="K66" s="361">
        <f>COUNTIFS(L8:L59,"&lt;=32",L8:L59,"&gt; 0")</f>
        <v>0</v>
      </c>
      <c r="L66" s="362"/>
      <c r="M66" s="361">
        <f>COUNTIFS(N8:N59,"&lt;=32",N8:N59,"&gt; 0")</f>
        <v>1</v>
      </c>
      <c r="N66" s="362"/>
      <c r="O66" s="361">
        <f>COUNTIFS(P8:P59,"&lt;=32",P8:P59,"&gt; 0")</f>
        <v>1</v>
      </c>
      <c r="P66" s="362"/>
      <c r="Q66" s="361">
        <f>COUNTIFS(R8:R59,"&lt;=32",R8:R59,"&gt; 0")</f>
        <v>0</v>
      </c>
      <c r="R66" s="364"/>
      <c r="S66" s="362"/>
    </row>
    <row r="67" spans="1:19" ht="17.399999999999999">
      <c r="A67" s="381"/>
      <c r="B67" s="46" t="s">
        <v>78</v>
      </c>
      <c r="C67" s="361">
        <f>COUNTIFS(D8:D59,"&gt;=32.1",D8:D59,"&lt;=44")</f>
        <v>2</v>
      </c>
      <c r="D67" s="362"/>
      <c r="E67" s="361">
        <f>COUNTIFS(F8:F59,"&gt;=32.1",F8:F59,"&lt;=44")</f>
        <v>1</v>
      </c>
      <c r="F67" s="362"/>
      <c r="G67" s="361">
        <f>COUNTIFS(H8:H59,"&gt;=32.1",H8:H59,"&lt;=44")</f>
        <v>15</v>
      </c>
      <c r="H67" s="362"/>
      <c r="I67" s="361">
        <f>COUNTIFS(J8:J59,"&gt;=32.1",J8:J59,"&lt;=44")</f>
        <v>4</v>
      </c>
      <c r="J67" s="362"/>
      <c r="K67" s="361">
        <f>COUNTIFS(L8:L59,"&gt;=32.1",L8:L59,"&lt;=44")</f>
        <v>1</v>
      </c>
      <c r="L67" s="362"/>
      <c r="M67" s="361">
        <f>COUNTIFS(N8:N59,"&gt;=32.1",N8:N59,"&lt;=44")</f>
        <v>4</v>
      </c>
      <c r="N67" s="362"/>
      <c r="O67" s="361">
        <f>COUNTIFS(P8:P59,"&gt;=32.1",P8:P59,"&lt;=44")</f>
        <v>5</v>
      </c>
      <c r="P67" s="362"/>
      <c r="Q67" s="361">
        <f>COUNTIFS(R8:R59,"&gt;=32.1",R8:R59,"&lt;=44")</f>
        <v>3</v>
      </c>
      <c r="R67" s="364"/>
      <c r="S67" s="362"/>
    </row>
    <row r="68" spans="1:19" ht="17.399999999999999">
      <c r="A68" s="381"/>
      <c r="B68" s="46" t="s">
        <v>79</v>
      </c>
      <c r="C68" s="361">
        <f>COUNTIFS(D8:D59,"&gt;=44.1",D8:D59,"&lt;=59")</f>
        <v>6</v>
      </c>
      <c r="D68" s="362"/>
      <c r="E68" s="361">
        <f>COUNTIFS(F8:F59,"&gt;=44.1",F8:F59,"&lt;=59")</f>
        <v>7</v>
      </c>
      <c r="F68" s="362"/>
      <c r="G68" s="361">
        <f>COUNTIFS(H8:H59,"&gt;=44.1",H8:H59,"&lt;=59")</f>
        <v>10</v>
      </c>
      <c r="H68" s="362"/>
      <c r="I68" s="361">
        <f>COUNTIFS(J8:J59,"&gt;=44.1",J8:J59,"&lt;=59")</f>
        <v>9</v>
      </c>
      <c r="J68" s="362"/>
      <c r="K68" s="361">
        <f>COUNTIFS(L8:L59,"&gt;=44.1",L8:L59,"&lt;=59")</f>
        <v>8</v>
      </c>
      <c r="L68" s="362"/>
      <c r="M68" s="361">
        <f>COUNTIFS(N8:N59,"&gt;=44.1",N8:N59,"&lt;=59")</f>
        <v>5</v>
      </c>
      <c r="N68" s="362"/>
      <c r="O68" s="361">
        <f>COUNTIFS(P8:P59,"&gt;=44.1",P8:P59,"&lt;=59")</f>
        <v>2</v>
      </c>
      <c r="P68" s="362"/>
      <c r="Q68" s="361">
        <f>COUNTIFS(R8:R59,"&gt;=44.1",R8:R59,"&lt;=59")</f>
        <v>10</v>
      </c>
      <c r="R68" s="364"/>
      <c r="S68" s="362"/>
    </row>
    <row r="69" spans="1:19" ht="17.399999999999999">
      <c r="A69" s="381"/>
      <c r="B69" s="46" t="s">
        <v>80</v>
      </c>
      <c r="C69" s="361">
        <f>COUNTIFS(D8:D59,"&gt;=59.1",D8:D59,"&lt;=74")</f>
        <v>10</v>
      </c>
      <c r="D69" s="362"/>
      <c r="E69" s="361">
        <f>COUNTIFS(F8:F59,"&gt;=59.1",F8:F59,"&lt;=74")</f>
        <v>8</v>
      </c>
      <c r="F69" s="362"/>
      <c r="G69" s="361">
        <f>COUNTIFS(H8:H59,"&gt;=59.1",H8:H59,"&lt;=74")</f>
        <v>8</v>
      </c>
      <c r="H69" s="362"/>
      <c r="I69" s="361">
        <f>COUNTIFS(J8:J59,"&gt;=59.1",J8:J59,"&lt;=74")</f>
        <v>5</v>
      </c>
      <c r="J69" s="362"/>
      <c r="K69" s="361">
        <f>COUNTIFS(L8:L59,"&gt;=59.1",L8:L59,"&lt;=74")</f>
        <v>13</v>
      </c>
      <c r="L69" s="362"/>
      <c r="M69" s="361">
        <f>COUNTIFS(N8:N59,"&gt;=59.1",N8:N59,"&lt;=74")</f>
        <v>2</v>
      </c>
      <c r="N69" s="362"/>
      <c r="O69" s="361">
        <f>COUNTIFS(P8:P59,"&gt;=59.1",P8:P59,"&lt;=74")</f>
        <v>16</v>
      </c>
      <c r="P69" s="362"/>
      <c r="Q69" s="361">
        <f>COUNTIFS(R8:R59,"&gt;=59.1",R8:R59,"&lt;=74")</f>
        <v>12</v>
      </c>
      <c r="R69" s="364"/>
      <c r="S69" s="362"/>
    </row>
    <row r="70" spans="1:19" ht="17.399999999999999">
      <c r="A70" s="381"/>
      <c r="B70" s="46" t="s">
        <v>81</v>
      </c>
      <c r="C70" s="361">
        <f>COUNTIFS(D8:D59,"&gt;=74.1",D8:D59,"&lt;89")</f>
        <v>18</v>
      </c>
      <c r="D70" s="362"/>
      <c r="E70" s="361">
        <f>COUNTIFS(F8:F59,"&gt;=74.1",F8:F59,"&lt;89")</f>
        <v>11</v>
      </c>
      <c r="F70" s="362"/>
      <c r="G70" s="361">
        <f>COUNTIFS(H8:H59,"&gt;=74.1",H8:H59,"&lt;89")</f>
        <v>8</v>
      </c>
      <c r="H70" s="362"/>
      <c r="I70" s="361">
        <f>COUNTIFS(J8:J59,"&gt;=74.1",J8:J59,"&lt;89")</f>
        <v>16</v>
      </c>
      <c r="J70" s="362"/>
      <c r="K70" s="361">
        <f>COUNTIFS(L8:L59,"&gt;=74.1",L8:L59,"&lt;89")</f>
        <v>15</v>
      </c>
      <c r="L70" s="362"/>
      <c r="M70" s="361">
        <f>COUNTIFS(N8:N59,"&gt;=74.1",N8:N59,"&lt;89")</f>
        <v>2</v>
      </c>
      <c r="N70" s="362"/>
      <c r="O70" s="361">
        <f>COUNTIFS(P8:P59,"&gt;=74.1",P8:P59,"&lt;89")</f>
        <v>13</v>
      </c>
      <c r="P70" s="362"/>
      <c r="Q70" s="361">
        <f>COUNTIFS(R8:R59,"&gt;=74.1",R8:R59,"&lt;89")</f>
        <v>16</v>
      </c>
      <c r="R70" s="364"/>
      <c r="S70" s="362"/>
    </row>
    <row r="71" spans="1:19" ht="17.399999999999999">
      <c r="A71" s="382"/>
      <c r="B71" s="48" t="s">
        <v>82</v>
      </c>
      <c r="C71" s="370">
        <f>COUNTIF(D8:D59,"&gt;=89.1")</f>
        <v>8</v>
      </c>
      <c r="D71" s="371"/>
      <c r="E71" s="370">
        <f>COUNTIF(F8:F59,"&gt;=89.1")</f>
        <v>2</v>
      </c>
      <c r="F71" s="371"/>
      <c r="G71" s="370">
        <f>COUNTIF(H8:H59,"&gt;=89.1")</f>
        <v>3</v>
      </c>
      <c r="H71" s="371"/>
      <c r="I71" s="370">
        <f>COUNTIF(J8:J59,"&gt;=89.1")</f>
        <v>9</v>
      </c>
      <c r="J71" s="371"/>
      <c r="K71" s="370">
        <f>COUNTIF(L8:L59,"&gt;=89.1")</f>
        <v>7</v>
      </c>
      <c r="L71" s="371"/>
      <c r="M71" s="370">
        <f>COUNTIF(N8:N59,"&gt;=89.1")</f>
        <v>1</v>
      </c>
      <c r="N71" s="371"/>
      <c r="O71" s="370">
        <f>COUNTIF(P8:P59,"&gt;=89.1")</f>
        <v>6</v>
      </c>
      <c r="P71" s="371"/>
      <c r="Q71" s="361">
        <f>COUNTIF(R8:R59,"&gt;=89.1")</f>
        <v>2</v>
      </c>
      <c r="R71" s="364"/>
      <c r="S71" s="362"/>
    </row>
    <row r="72" spans="1:19" ht="17.399999999999999">
      <c r="A72" s="388" t="s">
        <v>83</v>
      </c>
      <c r="B72" s="364"/>
      <c r="C72" s="361" t="s">
        <v>518</v>
      </c>
      <c r="D72" s="362"/>
      <c r="E72" s="372"/>
      <c r="F72" s="362"/>
      <c r="G72" s="372" t="s">
        <v>519</v>
      </c>
      <c r="H72" s="362"/>
      <c r="I72" s="372"/>
      <c r="J72" s="362"/>
      <c r="K72" s="372"/>
      <c r="L72" s="362"/>
      <c r="M72" s="372"/>
      <c r="N72" s="362"/>
      <c r="O72" s="372"/>
      <c r="P72" s="362"/>
      <c r="Q72" s="372"/>
      <c r="R72" s="364"/>
      <c r="S72" s="82">
        <f>IF(Q63=0,"",Q62/Q63*100)</f>
        <v>0</v>
      </c>
    </row>
    <row r="73" spans="1:19" ht="17.399999999999999">
      <c r="A73" s="389" t="s">
        <v>85</v>
      </c>
      <c r="B73" s="369"/>
      <c r="C73" s="368" t="s">
        <v>520</v>
      </c>
      <c r="D73" s="369"/>
      <c r="E73" s="369"/>
      <c r="F73" s="369"/>
      <c r="G73" s="369"/>
      <c r="H73" s="369"/>
      <c r="I73" s="369"/>
      <c r="J73" s="369"/>
      <c r="K73" s="369"/>
      <c r="L73" s="369"/>
      <c r="M73" s="368" t="s">
        <v>86</v>
      </c>
      <c r="N73" s="369"/>
      <c r="O73" s="369"/>
      <c r="P73" s="369"/>
      <c r="Q73" s="369"/>
      <c r="R73" s="369"/>
      <c r="S73" s="369"/>
    </row>
  </sheetData>
  <mergeCells count="122">
    <mergeCell ref="G69:H69"/>
    <mergeCell ref="I69:J69"/>
    <mergeCell ref="K69:L69"/>
    <mergeCell ref="C70:D70"/>
    <mergeCell ref="E70:F70"/>
    <mergeCell ref="G70:H70"/>
    <mergeCell ref="I70:J70"/>
    <mergeCell ref="A60:B60"/>
    <mergeCell ref="A61:A71"/>
    <mergeCell ref="E61:F61"/>
    <mergeCell ref="G61:H61"/>
    <mergeCell ref="K62:L62"/>
    <mergeCell ref="K64:L64"/>
    <mergeCell ref="C65:D65"/>
    <mergeCell ref="E65:F65"/>
    <mergeCell ref="G65:H65"/>
    <mergeCell ref="I65:J65"/>
    <mergeCell ref="K65:L65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C69:D69"/>
    <mergeCell ref="E69:F69"/>
    <mergeCell ref="I71:J71"/>
    <mergeCell ref="K71:L71"/>
    <mergeCell ref="A72:B72"/>
    <mergeCell ref="C72:D72"/>
    <mergeCell ref="E72:F72"/>
    <mergeCell ref="G72:H72"/>
    <mergeCell ref="I72:J72"/>
    <mergeCell ref="K72:L72"/>
    <mergeCell ref="A73:B73"/>
    <mergeCell ref="C73:L73"/>
    <mergeCell ref="M73:S73"/>
    <mergeCell ref="C61:D61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C66:D66"/>
    <mergeCell ref="E66:F66"/>
    <mergeCell ref="G66:H66"/>
    <mergeCell ref="I66:J66"/>
    <mergeCell ref="M66:N66"/>
    <mergeCell ref="O66:P66"/>
    <mergeCell ref="Q66:S66"/>
    <mergeCell ref="O67:P67"/>
    <mergeCell ref="Q67:S67"/>
    <mergeCell ref="K70:L70"/>
    <mergeCell ref="C71:D71"/>
    <mergeCell ref="E71:F71"/>
    <mergeCell ref="G71:H71"/>
    <mergeCell ref="M67:N67"/>
    <mergeCell ref="M68:N68"/>
    <mergeCell ref="O68:P68"/>
    <mergeCell ref="Q68:S68"/>
    <mergeCell ref="M69:N69"/>
    <mergeCell ref="O69:P69"/>
    <mergeCell ref="Q69:S69"/>
    <mergeCell ref="O72:P72"/>
    <mergeCell ref="Q72:R72"/>
    <mergeCell ref="M70:N70"/>
    <mergeCell ref="O70:P70"/>
    <mergeCell ref="Q70:S70"/>
    <mergeCell ref="M71:N71"/>
    <mergeCell ref="O71:P71"/>
    <mergeCell ref="Q71:S71"/>
    <mergeCell ref="M72:N72"/>
    <mergeCell ref="M65:N65"/>
    <mergeCell ref="O65:P65"/>
    <mergeCell ref="Q65:S65"/>
    <mergeCell ref="G62:H62"/>
    <mergeCell ref="I62:J62"/>
    <mergeCell ref="M62:N62"/>
    <mergeCell ref="O62:P62"/>
    <mergeCell ref="Q62:S62"/>
    <mergeCell ref="O63:P63"/>
    <mergeCell ref="Q63:S63"/>
    <mergeCell ref="I61:J61"/>
    <mergeCell ref="K61:L61"/>
    <mergeCell ref="M61:N61"/>
    <mergeCell ref="O61:P61"/>
    <mergeCell ref="Q61:S61"/>
    <mergeCell ref="C62:D62"/>
    <mergeCell ref="E62:F62"/>
    <mergeCell ref="M63:N63"/>
    <mergeCell ref="M64:N64"/>
    <mergeCell ref="O64:P64"/>
    <mergeCell ref="Q64:S64"/>
    <mergeCell ref="A1:R1"/>
    <mergeCell ref="A2:D2"/>
    <mergeCell ref="E2:J2"/>
    <mergeCell ref="K2:S2"/>
    <mergeCell ref="A3:B3"/>
    <mergeCell ref="C3:D3"/>
    <mergeCell ref="E3:J3"/>
    <mergeCell ref="M5:N5"/>
    <mergeCell ref="O5:P5"/>
    <mergeCell ref="Q5:R5"/>
    <mergeCell ref="S5:S7"/>
    <mergeCell ref="K3:S3"/>
    <mergeCell ref="A4:S4"/>
    <mergeCell ref="A5:A7"/>
    <mergeCell ref="B5:B7"/>
    <mergeCell ref="C5:D5"/>
    <mergeCell ref="E5:F5"/>
    <mergeCell ref="G5:H5"/>
    <mergeCell ref="I5:J5"/>
    <mergeCell ref="K5:L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S69"/>
  <sheetViews>
    <sheetView workbookViewId="0"/>
  </sheetViews>
  <sheetFormatPr defaultColWidth="12.6640625" defaultRowHeight="15.75" customHeight="1"/>
  <cols>
    <col min="2" max="2" width="20.6640625" customWidth="1"/>
    <col min="4" max="4" width="14.44140625" customWidth="1"/>
  </cols>
  <sheetData>
    <row r="1" spans="1:19" ht="15.75" customHeight="1">
      <c r="A1" s="392" t="s">
        <v>87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</row>
    <row r="2" spans="1:19" ht="15.75" customHeight="1">
      <c r="A2" s="373" t="s">
        <v>0</v>
      </c>
      <c r="B2" s="366"/>
      <c r="C2" s="366"/>
      <c r="D2" s="366"/>
      <c r="E2" s="374" t="s">
        <v>1</v>
      </c>
      <c r="F2" s="366"/>
      <c r="G2" s="366"/>
      <c r="H2" s="366"/>
      <c r="I2" s="366"/>
      <c r="J2" s="366"/>
      <c r="K2" s="375" t="s">
        <v>2</v>
      </c>
      <c r="L2" s="366"/>
      <c r="M2" s="366"/>
      <c r="N2" s="366"/>
      <c r="O2" s="366"/>
      <c r="P2" s="366"/>
      <c r="Q2" s="366"/>
      <c r="R2" s="366"/>
      <c r="S2" s="366"/>
    </row>
    <row r="3" spans="1:19" ht="15.75" customHeight="1">
      <c r="A3" s="383" t="s">
        <v>141</v>
      </c>
      <c r="B3" s="366"/>
      <c r="C3" s="374" t="s">
        <v>521</v>
      </c>
      <c r="D3" s="366"/>
      <c r="E3" s="374" t="s">
        <v>4</v>
      </c>
      <c r="F3" s="366"/>
      <c r="G3" s="366"/>
      <c r="H3" s="366"/>
      <c r="I3" s="366"/>
      <c r="J3" s="366"/>
      <c r="K3" s="374" t="s">
        <v>5</v>
      </c>
      <c r="L3" s="366"/>
      <c r="M3" s="366"/>
      <c r="N3" s="366"/>
      <c r="O3" s="366"/>
      <c r="P3" s="366"/>
      <c r="Q3" s="366"/>
      <c r="R3" s="366"/>
      <c r="S3" s="366"/>
    </row>
    <row r="4" spans="1:19" ht="15.75" customHeight="1">
      <c r="A4" s="377" t="s">
        <v>522</v>
      </c>
      <c r="B4" s="378"/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8"/>
      <c r="O4" s="378"/>
      <c r="P4" s="378"/>
      <c r="Q4" s="378"/>
      <c r="R4" s="378"/>
      <c r="S4" s="378"/>
    </row>
    <row r="5" spans="1:19">
      <c r="A5" s="384" t="s">
        <v>7</v>
      </c>
      <c r="B5" s="401" t="s">
        <v>8</v>
      </c>
      <c r="C5" s="379" t="s">
        <v>9</v>
      </c>
      <c r="D5" s="360"/>
      <c r="E5" s="379" t="s">
        <v>10</v>
      </c>
      <c r="F5" s="360"/>
      <c r="G5" s="379" t="s">
        <v>11</v>
      </c>
      <c r="H5" s="360"/>
      <c r="I5" s="379" t="s">
        <v>12</v>
      </c>
      <c r="J5" s="360"/>
      <c r="K5" s="379" t="s">
        <v>13</v>
      </c>
      <c r="L5" s="360"/>
      <c r="M5" s="379" t="s">
        <v>14</v>
      </c>
      <c r="N5" s="360"/>
      <c r="O5" s="379" t="s">
        <v>523</v>
      </c>
      <c r="P5" s="360"/>
      <c r="Q5" s="367" t="s">
        <v>15</v>
      </c>
      <c r="R5" s="362"/>
      <c r="S5" s="380" t="s">
        <v>16</v>
      </c>
    </row>
    <row r="6" spans="1:19">
      <c r="A6" s="381"/>
      <c r="B6" s="381"/>
      <c r="C6" s="180" t="s">
        <v>17</v>
      </c>
      <c r="D6" s="181">
        <v>40</v>
      </c>
      <c r="E6" s="180" t="s">
        <v>17</v>
      </c>
      <c r="F6" s="181">
        <v>40</v>
      </c>
      <c r="G6" s="180" t="s">
        <v>17</v>
      </c>
      <c r="H6" s="181">
        <v>40</v>
      </c>
      <c r="I6" s="180" t="s">
        <v>17</v>
      </c>
      <c r="J6" s="181">
        <v>40</v>
      </c>
      <c r="K6" s="180" t="s">
        <v>17</v>
      </c>
      <c r="L6" s="181">
        <v>40</v>
      </c>
      <c r="M6" s="180" t="s">
        <v>17</v>
      </c>
      <c r="N6" s="181">
        <v>40</v>
      </c>
      <c r="O6" s="180" t="s">
        <v>17</v>
      </c>
      <c r="P6" s="181">
        <v>40</v>
      </c>
      <c r="Q6" s="180" t="s">
        <v>17</v>
      </c>
      <c r="R6" s="181">
        <v>600</v>
      </c>
      <c r="S6" s="381"/>
    </row>
    <row r="7" spans="1:19">
      <c r="A7" s="382"/>
      <c r="B7" s="382"/>
      <c r="C7" s="6" t="s">
        <v>18</v>
      </c>
      <c r="D7" s="6" t="s">
        <v>19</v>
      </c>
      <c r="E7" s="6" t="s">
        <v>18</v>
      </c>
      <c r="F7" s="6" t="s">
        <v>19</v>
      </c>
      <c r="G7" s="6" t="s">
        <v>18</v>
      </c>
      <c r="H7" s="6" t="s">
        <v>19</v>
      </c>
      <c r="I7" s="6" t="s">
        <v>18</v>
      </c>
      <c r="J7" s="6" t="s">
        <v>19</v>
      </c>
      <c r="K7" s="6" t="s">
        <v>18</v>
      </c>
      <c r="L7" s="6" t="s">
        <v>19</v>
      </c>
      <c r="M7" s="6" t="s">
        <v>18</v>
      </c>
      <c r="N7" s="6" t="s">
        <v>19</v>
      </c>
      <c r="O7" s="6" t="s">
        <v>18</v>
      </c>
      <c r="P7" s="6" t="s">
        <v>19</v>
      </c>
      <c r="Q7" s="6" t="s">
        <v>18</v>
      </c>
      <c r="R7" s="6" t="s">
        <v>19</v>
      </c>
      <c r="S7" s="382"/>
    </row>
    <row r="8" spans="1:19" ht="15.75" customHeight="1">
      <c r="A8" s="182">
        <v>1</v>
      </c>
      <c r="B8" s="179" t="s">
        <v>524</v>
      </c>
      <c r="C8" s="183">
        <v>29</v>
      </c>
      <c r="D8" s="184">
        <f t="shared" ref="D8:D31" si="0">IF(C8="","",IF(C8="AB",AB,IF(C8="TC","TC",(C8/D$6)*100)))</f>
        <v>72.5</v>
      </c>
      <c r="E8" s="183">
        <v>14</v>
      </c>
      <c r="F8" s="184">
        <f t="shared" ref="F8:F31" si="1">IF(E8="","",IF(E8="AB",AB,IF(E8="TC","TC",(E8/F$6)*100)))</f>
        <v>35</v>
      </c>
      <c r="G8" s="72">
        <v>6</v>
      </c>
      <c r="H8" s="185">
        <f t="shared" ref="H8:H31" si="2">IF(G8="","",IF(G8="AB",AB,IF(G8="TC","TC",(G8/H$6)*100)))</f>
        <v>15</v>
      </c>
      <c r="I8" s="186">
        <v>14</v>
      </c>
      <c r="J8" s="184">
        <f t="shared" ref="J8:J34" si="3">IF(I8="","",IF(I8="AB",AB,IF(I8="TC","TC",(I8/J$6)*100)))</f>
        <v>35</v>
      </c>
      <c r="K8" s="72">
        <v>17</v>
      </c>
      <c r="L8" s="184">
        <f t="shared" ref="L8:L31" si="4">IF(K8="","",IF(K8="AB",AB,IF(K8="TC","TC",(K8/L$6)*100)))</f>
        <v>42.5</v>
      </c>
      <c r="M8" s="187"/>
      <c r="N8" s="37" t="str">
        <f t="shared" ref="N8:N56" si="5">IF(M8="","",IF(M8="AB",AB,IF(M8="TC","TC",(M8/N$6)*100)))</f>
        <v/>
      </c>
      <c r="O8" s="188">
        <v>13</v>
      </c>
      <c r="P8" s="184">
        <f t="shared" ref="P8:P31" si="6">IF(O8="","",IF(O8="AB",AB,IF(O8="TC","TC",(O8/P$6)*100)))</f>
        <v>32.5</v>
      </c>
      <c r="Q8" s="184">
        <f t="shared" ref="Q8:Q51" si="7">SUM(D8,F8,H8,J8,L8,N8,P8)</f>
        <v>232.5</v>
      </c>
      <c r="R8" s="189">
        <f t="shared" ref="R8:R51" si="8">IF(Q8="","",IF(Q8="AB","AB",(Q8/R$6)*100))</f>
        <v>38.75</v>
      </c>
      <c r="S8" s="22"/>
    </row>
    <row r="9" spans="1:19" ht="15.75" customHeight="1">
      <c r="A9" s="182">
        <v>2</v>
      </c>
      <c r="B9" s="190" t="s">
        <v>525</v>
      </c>
      <c r="C9" s="183">
        <v>33</v>
      </c>
      <c r="D9" s="184">
        <f t="shared" si="0"/>
        <v>82.5</v>
      </c>
      <c r="E9" s="183">
        <v>25</v>
      </c>
      <c r="F9" s="184">
        <f t="shared" si="1"/>
        <v>62.5</v>
      </c>
      <c r="G9" s="67">
        <v>28</v>
      </c>
      <c r="H9" s="184">
        <f t="shared" si="2"/>
        <v>70</v>
      </c>
      <c r="I9" s="67">
        <v>31</v>
      </c>
      <c r="J9" s="184">
        <f t="shared" si="3"/>
        <v>77.5</v>
      </c>
      <c r="K9" s="72">
        <v>37</v>
      </c>
      <c r="L9" s="184">
        <f t="shared" si="4"/>
        <v>92.5</v>
      </c>
      <c r="M9" s="187"/>
      <c r="N9" s="37" t="str">
        <f t="shared" si="5"/>
        <v/>
      </c>
      <c r="O9" s="191">
        <v>31</v>
      </c>
      <c r="P9" s="184">
        <f t="shared" si="6"/>
        <v>77.5</v>
      </c>
      <c r="Q9" s="184">
        <f t="shared" si="7"/>
        <v>462.5</v>
      </c>
      <c r="R9" s="189">
        <f t="shared" si="8"/>
        <v>77.083333333333343</v>
      </c>
      <c r="S9" s="22"/>
    </row>
    <row r="10" spans="1:19" ht="15.75" customHeight="1">
      <c r="A10" s="182">
        <v>3</v>
      </c>
      <c r="B10" s="190" t="s">
        <v>526</v>
      </c>
      <c r="C10" s="183">
        <v>29</v>
      </c>
      <c r="D10" s="184">
        <f t="shared" si="0"/>
        <v>72.5</v>
      </c>
      <c r="E10" s="183" t="s">
        <v>527</v>
      </c>
      <c r="F10" s="184" t="e">
        <f t="shared" si="1"/>
        <v>#VALUE!</v>
      </c>
      <c r="G10" s="67">
        <v>33</v>
      </c>
      <c r="H10" s="184">
        <f t="shared" si="2"/>
        <v>82.5</v>
      </c>
      <c r="I10" s="67">
        <v>34</v>
      </c>
      <c r="J10" s="184">
        <f t="shared" si="3"/>
        <v>85</v>
      </c>
      <c r="K10" s="72">
        <v>31</v>
      </c>
      <c r="L10" s="184">
        <f t="shared" si="4"/>
        <v>77.5</v>
      </c>
      <c r="M10" s="192">
        <v>24</v>
      </c>
      <c r="N10" s="170">
        <f t="shared" si="5"/>
        <v>60</v>
      </c>
      <c r="O10" s="191">
        <v>26</v>
      </c>
      <c r="P10" s="184">
        <f t="shared" si="6"/>
        <v>65</v>
      </c>
      <c r="Q10" s="184" t="e">
        <f t="shared" si="7"/>
        <v>#VALUE!</v>
      </c>
      <c r="R10" s="189" t="e">
        <f t="shared" si="8"/>
        <v>#VALUE!</v>
      </c>
      <c r="S10" s="22"/>
    </row>
    <row r="11" spans="1:19" ht="15.75" customHeight="1">
      <c r="A11" s="182">
        <v>4</v>
      </c>
      <c r="B11" s="190" t="s">
        <v>528</v>
      </c>
      <c r="C11" s="183">
        <v>29</v>
      </c>
      <c r="D11" s="184">
        <f t="shared" si="0"/>
        <v>72.5</v>
      </c>
      <c r="E11" s="183">
        <v>18</v>
      </c>
      <c r="F11" s="184">
        <f t="shared" si="1"/>
        <v>45</v>
      </c>
      <c r="G11" s="67">
        <v>24</v>
      </c>
      <c r="H11" s="184">
        <f t="shared" si="2"/>
        <v>60</v>
      </c>
      <c r="I11" s="67">
        <v>30</v>
      </c>
      <c r="J11" s="184">
        <f t="shared" si="3"/>
        <v>75</v>
      </c>
      <c r="K11" s="72">
        <v>34</v>
      </c>
      <c r="L11" s="184">
        <f t="shared" si="4"/>
        <v>85</v>
      </c>
      <c r="M11" s="192"/>
      <c r="N11" s="170" t="str">
        <f t="shared" si="5"/>
        <v/>
      </c>
      <c r="O11" s="191">
        <v>25</v>
      </c>
      <c r="P11" s="184">
        <f t="shared" si="6"/>
        <v>62.5</v>
      </c>
      <c r="Q11" s="184">
        <f t="shared" si="7"/>
        <v>400</v>
      </c>
      <c r="R11" s="189">
        <f t="shared" si="8"/>
        <v>66.666666666666657</v>
      </c>
      <c r="S11" s="22"/>
    </row>
    <row r="12" spans="1:19" ht="15.75" customHeight="1">
      <c r="A12" s="182">
        <v>5</v>
      </c>
      <c r="B12" s="190" t="s">
        <v>529</v>
      </c>
      <c r="C12" s="183">
        <v>33</v>
      </c>
      <c r="D12" s="184">
        <f t="shared" si="0"/>
        <v>82.5</v>
      </c>
      <c r="E12" s="183">
        <v>27</v>
      </c>
      <c r="F12" s="184">
        <f t="shared" si="1"/>
        <v>67.5</v>
      </c>
      <c r="G12" s="67">
        <v>19</v>
      </c>
      <c r="H12" s="184">
        <f t="shared" si="2"/>
        <v>47.5</v>
      </c>
      <c r="I12" s="67">
        <v>29</v>
      </c>
      <c r="J12" s="184">
        <f t="shared" si="3"/>
        <v>72.5</v>
      </c>
      <c r="K12" s="72">
        <v>32</v>
      </c>
      <c r="L12" s="184">
        <f t="shared" si="4"/>
        <v>80</v>
      </c>
      <c r="M12" s="192"/>
      <c r="N12" s="170" t="str">
        <f t="shared" si="5"/>
        <v/>
      </c>
      <c r="O12" s="191">
        <v>23</v>
      </c>
      <c r="P12" s="184">
        <f t="shared" si="6"/>
        <v>57.499999999999993</v>
      </c>
      <c r="Q12" s="184">
        <f t="shared" si="7"/>
        <v>407.5</v>
      </c>
      <c r="R12" s="189">
        <f t="shared" si="8"/>
        <v>67.916666666666671</v>
      </c>
      <c r="S12" s="22"/>
    </row>
    <row r="13" spans="1:19" ht="15.75" customHeight="1">
      <c r="A13" s="182">
        <v>6</v>
      </c>
      <c r="B13" s="190" t="s">
        <v>530</v>
      </c>
      <c r="C13" s="183">
        <v>24</v>
      </c>
      <c r="D13" s="184">
        <f t="shared" si="0"/>
        <v>60</v>
      </c>
      <c r="E13" s="183">
        <v>17</v>
      </c>
      <c r="F13" s="184">
        <f t="shared" si="1"/>
        <v>42.5</v>
      </c>
      <c r="G13" s="67">
        <v>22</v>
      </c>
      <c r="H13" s="184">
        <f t="shared" si="2"/>
        <v>55.000000000000007</v>
      </c>
      <c r="I13" s="67">
        <v>24</v>
      </c>
      <c r="J13" s="184">
        <f t="shared" si="3"/>
        <v>60</v>
      </c>
      <c r="K13" s="72">
        <v>29</v>
      </c>
      <c r="L13" s="184">
        <f t="shared" si="4"/>
        <v>72.5</v>
      </c>
      <c r="M13" s="192"/>
      <c r="N13" s="170" t="str">
        <f t="shared" si="5"/>
        <v/>
      </c>
      <c r="O13" s="191">
        <v>24</v>
      </c>
      <c r="P13" s="184">
        <f t="shared" si="6"/>
        <v>60</v>
      </c>
      <c r="Q13" s="184">
        <f t="shared" si="7"/>
        <v>350</v>
      </c>
      <c r="R13" s="189">
        <f t="shared" si="8"/>
        <v>58.333333333333336</v>
      </c>
      <c r="S13" s="22"/>
    </row>
    <row r="14" spans="1:19" ht="15.75" customHeight="1">
      <c r="A14" s="182">
        <v>7</v>
      </c>
      <c r="B14" s="190" t="s">
        <v>531</v>
      </c>
      <c r="C14" s="183">
        <v>30</v>
      </c>
      <c r="D14" s="184">
        <f t="shared" si="0"/>
        <v>75</v>
      </c>
      <c r="E14" s="183">
        <v>17</v>
      </c>
      <c r="F14" s="184">
        <f t="shared" si="1"/>
        <v>42.5</v>
      </c>
      <c r="G14" s="67">
        <v>18</v>
      </c>
      <c r="H14" s="184">
        <f t="shared" si="2"/>
        <v>45</v>
      </c>
      <c r="I14" s="193">
        <v>35</v>
      </c>
      <c r="J14" s="184">
        <f t="shared" si="3"/>
        <v>87.5</v>
      </c>
      <c r="K14" s="72">
        <v>33</v>
      </c>
      <c r="L14" s="184">
        <f t="shared" si="4"/>
        <v>82.5</v>
      </c>
      <c r="M14" s="194"/>
      <c r="N14" s="170" t="str">
        <f t="shared" si="5"/>
        <v/>
      </c>
      <c r="O14" s="191">
        <v>20</v>
      </c>
      <c r="P14" s="184">
        <f t="shared" si="6"/>
        <v>50</v>
      </c>
      <c r="Q14" s="184">
        <f t="shared" si="7"/>
        <v>382.5</v>
      </c>
      <c r="R14" s="189">
        <f t="shared" si="8"/>
        <v>63.749999999999993</v>
      </c>
      <c r="S14" s="22"/>
    </row>
    <row r="15" spans="1:19" ht="15.75" customHeight="1">
      <c r="A15" s="182">
        <v>8</v>
      </c>
      <c r="B15" s="179" t="s">
        <v>532</v>
      </c>
      <c r="C15" s="183">
        <v>38</v>
      </c>
      <c r="D15" s="184">
        <f t="shared" si="0"/>
        <v>95</v>
      </c>
      <c r="E15" s="183">
        <v>39</v>
      </c>
      <c r="F15" s="184">
        <f t="shared" si="1"/>
        <v>97.5</v>
      </c>
      <c r="G15" s="72">
        <v>40</v>
      </c>
      <c r="H15" s="184">
        <f t="shared" si="2"/>
        <v>100</v>
      </c>
      <c r="I15" s="72">
        <v>37</v>
      </c>
      <c r="J15" s="184">
        <f t="shared" si="3"/>
        <v>92.5</v>
      </c>
      <c r="K15" s="72">
        <v>40</v>
      </c>
      <c r="L15" s="184">
        <f t="shared" si="4"/>
        <v>100</v>
      </c>
      <c r="M15" s="192"/>
      <c r="N15" s="170" t="str">
        <f t="shared" si="5"/>
        <v/>
      </c>
      <c r="O15" s="191">
        <v>40</v>
      </c>
      <c r="P15" s="184">
        <f t="shared" si="6"/>
        <v>100</v>
      </c>
      <c r="Q15" s="184">
        <f t="shared" si="7"/>
        <v>585</v>
      </c>
      <c r="R15" s="189">
        <f t="shared" si="8"/>
        <v>97.5</v>
      </c>
      <c r="S15" s="22"/>
    </row>
    <row r="16" spans="1:19" ht="15.75" customHeight="1">
      <c r="A16" s="182">
        <v>9</v>
      </c>
      <c r="B16" s="190" t="s">
        <v>533</v>
      </c>
      <c r="C16" s="183">
        <v>25</v>
      </c>
      <c r="D16" s="184">
        <f t="shared" si="0"/>
        <v>62.5</v>
      </c>
      <c r="E16" s="183">
        <v>22</v>
      </c>
      <c r="F16" s="184">
        <f t="shared" si="1"/>
        <v>55.000000000000007</v>
      </c>
      <c r="G16" s="67">
        <v>17</v>
      </c>
      <c r="H16" s="184">
        <f t="shared" si="2"/>
        <v>42.5</v>
      </c>
      <c r="I16" s="67">
        <v>29</v>
      </c>
      <c r="J16" s="184">
        <f t="shared" si="3"/>
        <v>72.5</v>
      </c>
      <c r="K16" s="72">
        <v>31</v>
      </c>
      <c r="L16" s="184">
        <f t="shared" si="4"/>
        <v>77.5</v>
      </c>
      <c r="M16" s="192"/>
      <c r="N16" s="170" t="str">
        <f t="shared" si="5"/>
        <v/>
      </c>
      <c r="O16" s="191">
        <v>23</v>
      </c>
      <c r="P16" s="184">
        <f t="shared" si="6"/>
        <v>57.499999999999993</v>
      </c>
      <c r="Q16" s="184">
        <f t="shared" si="7"/>
        <v>367.5</v>
      </c>
      <c r="R16" s="189">
        <f t="shared" si="8"/>
        <v>61.250000000000007</v>
      </c>
      <c r="S16" s="22"/>
    </row>
    <row r="17" spans="1:19" ht="15.75" customHeight="1">
      <c r="A17" s="182">
        <v>10</v>
      </c>
      <c r="B17" s="190" t="s">
        <v>534</v>
      </c>
      <c r="C17" s="183">
        <v>30</v>
      </c>
      <c r="D17" s="184">
        <f t="shared" si="0"/>
        <v>75</v>
      </c>
      <c r="E17" s="183">
        <v>22</v>
      </c>
      <c r="F17" s="184">
        <f t="shared" si="1"/>
        <v>55.000000000000007</v>
      </c>
      <c r="G17" s="67">
        <v>13</v>
      </c>
      <c r="H17" s="184">
        <f t="shared" si="2"/>
        <v>32.5</v>
      </c>
      <c r="I17" s="67">
        <v>38</v>
      </c>
      <c r="J17" s="184">
        <f t="shared" si="3"/>
        <v>95</v>
      </c>
      <c r="K17" s="72">
        <v>29</v>
      </c>
      <c r="L17" s="184">
        <f t="shared" si="4"/>
        <v>72.5</v>
      </c>
      <c r="M17" s="192"/>
      <c r="N17" s="170" t="str">
        <f t="shared" si="5"/>
        <v/>
      </c>
      <c r="O17" s="191">
        <v>26</v>
      </c>
      <c r="P17" s="184">
        <f t="shared" si="6"/>
        <v>65</v>
      </c>
      <c r="Q17" s="184">
        <f t="shared" si="7"/>
        <v>395</v>
      </c>
      <c r="R17" s="189">
        <f t="shared" si="8"/>
        <v>65.833333333333329</v>
      </c>
      <c r="S17" s="22"/>
    </row>
    <row r="18" spans="1:19" ht="15.75" customHeight="1">
      <c r="A18" s="182">
        <v>11</v>
      </c>
      <c r="B18" s="190" t="s">
        <v>535</v>
      </c>
      <c r="C18" s="183">
        <v>28</v>
      </c>
      <c r="D18" s="184">
        <f t="shared" si="0"/>
        <v>70</v>
      </c>
      <c r="E18" s="183">
        <v>33</v>
      </c>
      <c r="F18" s="184">
        <f t="shared" si="1"/>
        <v>82.5</v>
      </c>
      <c r="G18" s="67">
        <v>27</v>
      </c>
      <c r="H18" s="184">
        <f t="shared" si="2"/>
        <v>67.5</v>
      </c>
      <c r="I18" s="67">
        <v>36</v>
      </c>
      <c r="J18" s="184">
        <f t="shared" si="3"/>
        <v>90</v>
      </c>
      <c r="K18" s="72">
        <v>36</v>
      </c>
      <c r="L18" s="184">
        <f t="shared" si="4"/>
        <v>90</v>
      </c>
      <c r="M18" s="192"/>
      <c r="N18" s="170" t="str">
        <f t="shared" si="5"/>
        <v/>
      </c>
      <c r="O18" s="191">
        <v>32</v>
      </c>
      <c r="P18" s="184">
        <f t="shared" si="6"/>
        <v>80</v>
      </c>
      <c r="Q18" s="184">
        <f t="shared" si="7"/>
        <v>480</v>
      </c>
      <c r="R18" s="189">
        <f t="shared" si="8"/>
        <v>80</v>
      </c>
      <c r="S18" s="22"/>
    </row>
    <row r="19" spans="1:19" ht="15.75" customHeight="1">
      <c r="A19" s="182">
        <v>12</v>
      </c>
      <c r="B19" s="190" t="s">
        <v>536</v>
      </c>
      <c r="C19" s="183">
        <v>38</v>
      </c>
      <c r="D19" s="184">
        <f t="shared" si="0"/>
        <v>95</v>
      </c>
      <c r="E19" s="183">
        <v>36</v>
      </c>
      <c r="F19" s="184">
        <f t="shared" si="1"/>
        <v>90</v>
      </c>
      <c r="G19" s="67">
        <v>26</v>
      </c>
      <c r="H19" s="184">
        <f t="shared" si="2"/>
        <v>65</v>
      </c>
      <c r="I19" s="67">
        <v>33</v>
      </c>
      <c r="J19" s="184">
        <f t="shared" si="3"/>
        <v>82.5</v>
      </c>
      <c r="K19" s="72">
        <v>37</v>
      </c>
      <c r="L19" s="184">
        <f t="shared" si="4"/>
        <v>92.5</v>
      </c>
      <c r="M19" s="192"/>
      <c r="N19" s="170" t="str">
        <f t="shared" si="5"/>
        <v/>
      </c>
      <c r="O19" s="191">
        <v>38</v>
      </c>
      <c r="P19" s="184">
        <f t="shared" si="6"/>
        <v>95</v>
      </c>
      <c r="Q19" s="184">
        <f t="shared" si="7"/>
        <v>520</v>
      </c>
      <c r="R19" s="189">
        <f t="shared" si="8"/>
        <v>86.666666666666671</v>
      </c>
      <c r="S19" s="22"/>
    </row>
    <row r="20" spans="1:19" ht="15.75" customHeight="1">
      <c r="A20" s="182">
        <v>13</v>
      </c>
      <c r="B20" s="190" t="s">
        <v>537</v>
      </c>
      <c r="C20" s="183">
        <v>35</v>
      </c>
      <c r="D20" s="184">
        <f t="shared" si="0"/>
        <v>87.5</v>
      </c>
      <c r="E20" s="183">
        <v>24</v>
      </c>
      <c r="F20" s="184">
        <f t="shared" si="1"/>
        <v>60</v>
      </c>
      <c r="G20" s="67">
        <v>30</v>
      </c>
      <c r="H20" s="184">
        <f t="shared" si="2"/>
        <v>75</v>
      </c>
      <c r="I20" s="67">
        <v>37</v>
      </c>
      <c r="J20" s="184">
        <f t="shared" si="3"/>
        <v>92.5</v>
      </c>
      <c r="K20" s="72">
        <v>32</v>
      </c>
      <c r="L20" s="184">
        <f t="shared" si="4"/>
        <v>80</v>
      </c>
      <c r="M20" s="192"/>
      <c r="N20" s="170" t="str">
        <f t="shared" si="5"/>
        <v/>
      </c>
      <c r="O20" s="191">
        <v>31</v>
      </c>
      <c r="P20" s="184">
        <f t="shared" si="6"/>
        <v>77.5</v>
      </c>
      <c r="Q20" s="184">
        <f t="shared" si="7"/>
        <v>472.5</v>
      </c>
      <c r="R20" s="189">
        <f t="shared" si="8"/>
        <v>78.75</v>
      </c>
      <c r="S20" s="22"/>
    </row>
    <row r="21" spans="1:19" ht="15.75" customHeight="1">
      <c r="A21" s="182">
        <v>14</v>
      </c>
      <c r="B21" s="190" t="s">
        <v>538</v>
      </c>
      <c r="C21" s="183">
        <v>34</v>
      </c>
      <c r="D21" s="184">
        <f t="shared" si="0"/>
        <v>85</v>
      </c>
      <c r="E21" s="183">
        <v>27</v>
      </c>
      <c r="F21" s="184">
        <f t="shared" si="1"/>
        <v>67.5</v>
      </c>
      <c r="G21" s="67">
        <v>26</v>
      </c>
      <c r="H21" s="184">
        <f t="shared" si="2"/>
        <v>65</v>
      </c>
      <c r="I21" s="67">
        <v>37</v>
      </c>
      <c r="J21" s="184">
        <f t="shared" si="3"/>
        <v>92.5</v>
      </c>
      <c r="K21" s="72">
        <v>34</v>
      </c>
      <c r="L21" s="184">
        <f t="shared" si="4"/>
        <v>85</v>
      </c>
      <c r="M21" s="192"/>
      <c r="N21" s="170" t="str">
        <f t="shared" si="5"/>
        <v/>
      </c>
      <c r="O21" s="191">
        <v>25</v>
      </c>
      <c r="P21" s="184">
        <f t="shared" si="6"/>
        <v>62.5</v>
      </c>
      <c r="Q21" s="184">
        <f t="shared" si="7"/>
        <v>457.5</v>
      </c>
      <c r="R21" s="189">
        <f t="shared" si="8"/>
        <v>76.25</v>
      </c>
      <c r="S21" s="22"/>
    </row>
    <row r="22" spans="1:19" ht="15.75" customHeight="1">
      <c r="A22" s="182">
        <v>15</v>
      </c>
      <c r="B22" s="190" t="s">
        <v>539</v>
      </c>
      <c r="C22" s="183">
        <v>36</v>
      </c>
      <c r="D22" s="184">
        <f t="shared" si="0"/>
        <v>90</v>
      </c>
      <c r="E22" s="183">
        <v>29</v>
      </c>
      <c r="F22" s="184">
        <f t="shared" si="1"/>
        <v>72.5</v>
      </c>
      <c r="G22" s="67">
        <v>24</v>
      </c>
      <c r="H22" s="184">
        <f t="shared" si="2"/>
        <v>60</v>
      </c>
      <c r="I22" s="67">
        <v>33</v>
      </c>
      <c r="J22" s="184">
        <f t="shared" si="3"/>
        <v>82.5</v>
      </c>
      <c r="K22" s="72">
        <v>34</v>
      </c>
      <c r="L22" s="184">
        <f t="shared" si="4"/>
        <v>85</v>
      </c>
      <c r="M22" s="192"/>
      <c r="N22" s="170" t="str">
        <f t="shared" si="5"/>
        <v/>
      </c>
      <c r="O22" s="191">
        <v>32</v>
      </c>
      <c r="P22" s="184">
        <f t="shared" si="6"/>
        <v>80</v>
      </c>
      <c r="Q22" s="184">
        <f t="shared" si="7"/>
        <v>470</v>
      </c>
      <c r="R22" s="189">
        <f t="shared" si="8"/>
        <v>78.333333333333329</v>
      </c>
      <c r="S22" s="22"/>
    </row>
    <row r="23" spans="1:19" ht="15.75" customHeight="1">
      <c r="A23" s="182">
        <v>16</v>
      </c>
      <c r="B23" s="190" t="s">
        <v>540</v>
      </c>
      <c r="C23" s="183">
        <v>26</v>
      </c>
      <c r="D23" s="184">
        <f t="shared" si="0"/>
        <v>65</v>
      </c>
      <c r="E23" s="183">
        <v>17</v>
      </c>
      <c r="F23" s="184">
        <f t="shared" si="1"/>
        <v>42.5</v>
      </c>
      <c r="G23" s="67">
        <v>14</v>
      </c>
      <c r="H23" s="184">
        <f t="shared" si="2"/>
        <v>35</v>
      </c>
      <c r="I23" s="67">
        <v>30</v>
      </c>
      <c r="J23" s="184">
        <f t="shared" si="3"/>
        <v>75</v>
      </c>
      <c r="K23" s="72">
        <v>33</v>
      </c>
      <c r="L23" s="184">
        <f t="shared" si="4"/>
        <v>82.5</v>
      </c>
      <c r="M23" s="192"/>
      <c r="N23" s="170" t="str">
        <f t="shared" si="5"/>
        <v/>
      </c>
      <c r="O23" s="191">
        <v>19</v>
      </c>
      <c r="P23" s="184">
        <f t="shared" si="6"/>
        <v>47.5</v>
      </c>
      <c r="Q23" s="184">
        <f t="shared" si="7"/>
        <v>347.5</v>
      </c>
      <c r="R23" s="189">
        <f t="shared" si="8"/>
        <v>57.916666666666671</v>
      </c>
      <c r="S23" s="22"/>
    </row>
    <row r="24" spans="1:19" ht="15.75" customHeight="1">
      <c r="A24" s="182">
        <v>17</v>
      </c>
      <c r="B24" s="190" t="s">
        <v>541</v>
      </c>
      <c r="C24" s="183">
        <v>38</v>
      </c>
      <c r="D24" s="184">
        <f t="shared" si="0"/>
        <v>95</v>
      </c>
      <c r="E24" s="183">
        <v>33</v>
      </c>
      <c r="F24" s="184">
        <f t="shared" si="1"/>
        <v>82.5</v>
      </c>
      <c r="G24" s="67">
        <v>16</v>
      </c>
      <c r="H24" s="184">
        <f t="shared" si="2"/>
        <v>40</v>
      </c>
      <c r="I24" s="67">
        <v>36</v>
      </c>
      <c r="J24" s="184">
        <f t="shared" si="3"/>
        <v>90</v>
      </c>
      <c r="K24" s="72">
        <v>39</v>
      </c>
      <c r="L24" s="184">
        <f t="shared" si="4"/>
        <v>97.5</v>
      </c>
      <c r="M24" s="192"/>
      <c r="N24" s="170" t="str">
        <f t="shared" si="5"/>
        <v/>
      </c>
      <c r="O24" s="191">
        <v>37</v>
      </c>
      <c r="P24" s="184">
        <f t="shared" si="6"/>
        <v>92.5</v>
      </c>
      <c r="Q24" s="184">
        <f t="shared" si="7"/>
        <v>497.5</v>
      </c>
      <c r="R24" s="189">
        <f t="shared" si="8"/>
        <v>82.916666666666671</v>
      </c>
      <c r="S24" s="22"/>
    </row>
    <row r="25" spans="1:19" ht="15.75" customHeight="1">
      <c r="A25" s="182">
        <v>18</v>
      </c>
      <c r="B25" s="179" t="s">
        <v>542</v>
      </c>
      <c r="C25" s="183">
        <v>35</v>
      </c>
      <c r="D25" s="184">
        <f t="shared" si="0"/>
        <v>87.5</v>
      </c>
      <c r="E25" s="183">
        <v>19</v>
      </c>
      <c r="F25" s="184">
        <f t="shared" si="1"/>
        <v>47.5</v>
      </c>
      <c r="G25" s="67">
        <v>24</v>
      </c>
      <c r="H25" s="184">
        <f t="shared" si="2"/>
        <v>60</v>
      </c>
      <c r="I25" s="67">
        <v>34</v>
      </c>
      <c r="J25" s="184">
        <f t="shared" si="3"/>
        <v>85</v>
      </c>
      <c r="K25" s="72">
        <v>33</v>
      </c>
      <c r="L25" s="184">
        <f t="shared" si="4"/>
        <v>82.5</v>
      </c>
      <c r="M25" s="192"/>
      <c r="N25" s="170" t="str">
        <f t="shared" si="5"/>
        <v/>
      </c>
      <c r="O25" s="191">
        <v>30</v>
      </c>
      <c r="P25" s="184">
        <f t="shared" si="6"/>
        <v>75</v>
      </c>
      <c r="Q25" s="184">
        <f t="shared" si="7"/>
        <v>437.5</v>
      </c>
      <c r="R25" s="189">
        <f t="shared" si="8"/>
        <v>72.916666666666657</v>
      </c>
      <c r="S25" s="22"/>
    </row>
    <row r="26" spans="1:19" ht="15.75" customHeight="1">
      <c r="A26" s="182">
        <v>19</v>
      </c>
      <c r="B26" s="190" t="s">
        <v>543</v>
      </c>
      <c r="C26" s="183">
        <v>31</v>
      </c>
      <c r="D26" s="184">
        <f t="shared" si="0"/>
        <v>77.5</v>
      </c>
      <c r="E26" s="183" t="s">
        <v>527</v>
      </c>
      <c r="F26" s="184" t="e">
        <f t="shared" si="1"/>
        <v>#VALUE!</v>
      </c>
      <c r="G26" s="67">
        <v>7</v>
      </c>
      <c r="H26" s="184">
        <f t="shared" si="2"/>
        <v>17.5</v>
      </c>
      <c r="I26" s="67">
        <v>28</v>
      </c>
      <c r="J26" s="184">
        <f t="shared" si="3"/>
        <v>70</v>
      </c>
      <c r="K26" s="72">
        <v>23</v>
      </c>
      <c r="L26" s="184">
        <f t="shared" si="4"/>
        <v>57.499999999999993</v>
      </c>
      <c r="M26" s="192">
        <v>29</v>
      </c>
      <c r="N26" s="170">
        <f t="shared" si="5"/>
        <v>72.5</v>
      </c>
      <c r="O26" s="191">
        <v>19</v>
      </c>
      <c r="P26" s="184">
        <f t="shared" si="6"/>
        <v>47.5</v>
      </c>
      <c r="Q26" s="184" t="e">
        <f t="shared" si="7"/>
        <v>#VALUE!</v>
      </c>
      <c r="R26" s="189" t="e">
        <f t="shared" si="8"/>
        <v>#VALUE!</v>
      </c>
      <c r="S26" s="22"/>
    </row>
    <row r="27" spans="1:19" ht="14.4">
      <c r="A27" s="182">
        <v>20</v>
      </c>
      <c r="B27" s="190" t="s">
        <v>544</v>
      </c>
      <c r="C27" s="183">
        <v>22</v>
      </c>
      <c r="D27" s="184">
        <f t="shared" si="0"/>
        <v>55.000000000000007</v>
      </c>
      <c r="E27" s="183">
        <v>13</v>
      </c>
      <c r="F27" s="184">
        <f t="shared" si="1"/>
        <v>32.5</v>
      </c>
      <c r="G27" s="67">
        <v>6</v>
      </c>
      <c r="H27" s="185">
        <f t="shared" si="2"/>
        <v>15</v>
      </c>
      <c r="I27" s="67">
        <v>20</v>
      </c>
      <c r="J27" s="184">
        <f t="shared" si="3"/>
        <v>50</v>
      </c>
      <c r="K27" s="72">
        <v>18</v>
      </c>
      <c r="L27" s="184">
        <f t="shared" si="4"/>
        <v>45</v>
      </c>
      <c r="M27" s="194"/>
      <c r="N27" s="170" t="str">
        <f t="shared" si="5"/>
        <v/>
      </c>
      <c r="O27" s="191">
        <v>15</v>
      </c>
      <c r="P27" s="185">
        <f t="shared" si="6"/>
        <v>37.5</v>
      </c>
      <c r="Q27" s="184">
        <f t="shared" si="7"/>
        <v>235</v>
      </c>
      <c r="R27" s="189">
        <f t="shared" si="8"/>
        <v>39.166666666666664</v>
      </c>
      <c r="S27" s="22"/>
    </row>
    <row r="28" spans="1:19" ht="14.4">
      <c r="A28" s="182">
        <v>21</v>
      </c>
      <c r="B28" s="190" t="s">
        <v>545</v>
      </c>
      <c r="C28" s="183">
        <v>36</v>
      </c>
      <c r="D28" s="184">
        <f t="shared" si="0"/>
        <v>90</v>
      </c>
      <c r="E28" s="183">
        <v>11</v>
      </c>
      <c r="F28" s="184">
        <f t="shared" si="1"/>
        <v>27.500000000000004</v>
      </c>
      <c r="G28" s="67">
        <v>21</v>
      </c>
      <c r="H28" s="184">
        <f t="shared" si="2"/>
        <v>52.5</v>
      </c>
      <c r="I28" s="67">
        <v>31</v>
      </c>
      <c r="J28" s="184">
        <f t="shared" si="3"/>
        <v>77.5</v>
      </c>
      <c r="K28" s="72">
        <v>39</v>
      </c>
      <c r="L28" s="184">
        <f t="shared" si="4"/>
        <v>97.5</v>
      </c>
      <c r="M28" s="194"/>
      <c r="N28" s="170" t="str">
        <f t="shared" si="5"/>
        <v/>
      </c>
      <c r="O28" s="191">
        <v>37</v>
      </c>
      <c r="P28" s="184">
        <f t="shared" si="6"/>
        <v>92.5</v>
      </c>
      <c r="Q28" s="184">
        <f t="shared" si="7"/>
        <v>437.5</v>
      </c>
      <c r="R28" s="189">
        <f t="shared" si="8"/>
        <v>72.916666666666657</v>
      </c>
      <c r="S28" s="22"/>
    </row>
    <row r="29" spans="1:19" ht="14.4">
      <c r="A29" s="182">
        <v>22</v>
      </c>
      <c r="B29" s="190" t="s">
        <v>546</v>
      </c>
      <c r="C29" s="183">
        <v>38</v>
      </c>
      <c r="D29" s="184">
        <f t="shared" si="0"/>
        <v>95</v>
      </c>
      <c r="E29" s="183">
        <v>40</v>
      </c>
      <c r="F29" s="184">
        <f t="shared" si="1"/>
        <v>100</v>
      </c>
      <c r="G29" s="67">
        <v>38</v>
      </c>
      <c r="H29" s="184">
        <f t="shared" si="2"/>
        <v>95</v>
      </c>
      <c r="I29" s="67">
        <v>40</v>
      </c>
      <c r="J29" s="184">
        <f t="shared" si="3"/>
        <v>100</v>
      </c>
      <c r="K29" s="72">
        <v>40</v>
      </c>
      <c r="L29" s="184">
        <f t="shared" si="4"/>
        <v>100</v>
      </c>
      <c r="M29" s="194"/>
      <c r="N29" s="170" t="str">
        <f t="shared" si="5"/>
        <v/>
      </c>
      <c r="O29" s="191">
        <v>39</v>
      </c>
      <c r="P29" s="184">
        <f t="shared" si="6"/>
        <v>97.5</v>
      </c>
      <c r="Q29" s="184">
        <f t="shared" si="7"/>
        <v>587.5</v>
      </c>
      <c r="R29" s="189">
        <f t="shared" si="8"/>
        <v>97.916666666666657</v>
      </c>
      <c r="S29" s="22"/>
    </row>
    <row r="30" spans="1:19" ht="14.4">
      <c r="A30" s="182">
        <v>23</v>
      </c>
      <c r="B30" s="190" t="s">
        <v>547</v>
      </c>
      <c r="C30" s="183">
        <v>36</v>
      </c>
      <c r="D30" s="184">
        <f t="shared" si="0"/>
        <v>90</v>
      </c>
      <c r="E30" s="183">
        <v>19</v>
      </c>
      <c r="F30" s="184">
        <f t="shared" si="1"/>
        <v>47.5</v>
      </c>
      <c r="G30" s="67">
        <v>24</v>
      </c>
      <c r="H30" s="184">
        <f t="shared" si="2"/>
        <v>60</v>
      </c>
      <c r="I30" s="67">
        <v>33</v>
      </c>
      <c r="J30" s="184">
        <f t="shared" si="3"/>
        <v>82.5</v>
      </c>
      <c r="K30" s="72">
        <v>35</v>
      </c>
      <c r="L30" s="184">
        <f t="shared" si="4"/>
        <v>87.5</v>
      </c>
      <c r="M30" s="194"/>
      <c r="N30" s="170" t="str">
        <f t="shared" si="5"/>
        <v/>
      </c>
      <c r="O30" s="191">
        <v>20</v>
      </c>
      <c r="P30" s="184">
        <f t="shared" si="6"/>
        <v>50</v>
      </c>
      <c r="Q30" s="184">
        <f t="shared" si="7"/>
        <v>417.5</v>
      </c>
      <c r="R30" s="189">
        <f t="shared" si="8"/>
        <v>69.583333333333329</v>
      </c>
      <c r="S30" s="22"/>
    </row>
    <row r="31" spans="1:19" ht="14.4">
      <c r="A31" s="182">
        <v>24</v>
      </c>
      <c r="B31" s="190" t="s">
        <v>548</v>
      </c>
      <c r="C31" s="183">
        <v>38</v>
      </c>
      <c r="D31" s="184">
        <f t="shared" si="0"/>
        <v>95</v>
      </c>
      <c r="E31" s="183">
        <v>30</v>
      </c>
      <c r="F31" s="184">
        <f t="shared" si="1"/>
        <v>75</v>
      </c>
      <c r="G31" s="195">
        <v>31</v>
      </c>
      <c r="H31" s="184">
        <f t="shared" si="2"/>
        <v>77.5</v>
      </c>
      <c r="I31" s="67">
        <v>37</v>
      </c>
      <c r="J31" s="184">
        <f t="shared" si="3"/>
        <v>92.5</v>
      </c>
      <c r="K31" s="72">
        <v>38</v>
      </c>
      <c r="L31" s="184">
        <f t="shared" si="4"/>
        <v>95</v>
      </c>
      <c r="M31" s="194"/>
      <c r="N31" s="170" t="str">
        <f t="shared" si="5"/>
        <v/>
      </c>
      <c r="O31" s="191">
        <v>29</v>
      </c>
      <c r="P31" s="184">
        <f t="shared" si="6"/>
        <v>72.5</v>
      </c>
      <c r="Q31" s="184">
        <f t="shared" si="7"/>
        <v>507.5</v>
      </c>
      <c r="R31" s="189">
        <f t="shared" si="8"/>
        <v>84.583333333333329</v>
      </c>
      <c r="S31" s="22"/>
    </row>
    <row r="32" spans="1:19" ht="14.4">
      <c r="A32" s="182">
        <v>25</v>
      </c>
      <c r="B32" s="190" t="s">
        <v>549</v>
      </c>
      <c r="C32" s="196">
        <v>15</v>
      </c>
      <c r="D32" s="196" t="s">
        <v>24</v>
      </c>
      <c r="E32" s="196" t="s">
        <v>24</v>
      </c>
      <c r="F32" s="196" t="s">
        <v>24</v>
      </c>
      <c r="G32" s="196" t="s">
        <v>24</v>
      </c>
      <c r="H32" s="196" t="s">
        <v>24</v>
      </c>
      <c r="I32" s="67" t="s">
        <v>24</v>
      </c>
      <c r="J32" s="184" t="e">
        <f t="shared" si="3"/>
        <v>#NAME?</v>
      </c>
      <c r="K32" s="196" t="s">
        <v>24</v>
      </c>
      <c r="L32" s="196" t="s">
        <v>24</v>
      </c>
      <c r="M32" s="194"/>
      <c r="N32" s="170" t="str">
        <f t="shared" si="5"/>
        <v/>
      </c>
      <c r="O32" s="196" t="s">
        <v>24</v>
      </c>
      <c r="P32" s="196" t="s">
        <v>24</v>
      </c>
      <c r="Q32" s="184" t="e">
        <f t="shared" si="7"/>
        <v>#NAME?</v>
      </c>
      <c r="R32" s="189" t="e">
        <f t="shared" si="8"/>
        <v>#NAME?</v>
      </c>
      <c r="S32" s="22"/>
    </row>
    <row r="33" spans="1:19" ht="14.4">
      <c r="A33" s="182">
        <v>26</v>
      </c>
      <c r="B33" s="190" t="s">
        <v>550</v>
      </c>
      <c r="C33" s="183">
        <v>30</v>
      </c>
      <c r="D33" s="184">
        <f t="shared" ref="D33:D56" si="9">IF(C33="","",IF(C33="AB",AB,IF(C33="TC","TC",(C33/D$6)*100)))</f>
        <v>75</v>
      </c>
      <c r="E33" s="183">
        <v>26</v>
      </c>
      <c r="F33" s="184">
        <f t="shared" ref="F33:F34" si="10">IF(E33="","",IF(E33="AB",AB,IF(E33="TC","TC",(E33/F$6)*100)))</f>
        <v>65</v>
      </c>
      <c r="G33" s="183">
        <v>24</v>
      </c>
      <c r="H33" s="184">
        <f t="shared" ref="H33:H34" si="11">IF(G33="","",IF(G33="AB",AB,IF(G33="TC","TC",(G33/H$6)*100)))</f>
        <v>60</v>
      </c>
      <c r="I33" s="67">
        <v>36</v>
      </c>
      <c r="J33" s="184">
        <f t="shared" si="3"/>
        <v>90</v>
      </c>
      <c r="K33" s="72">
        <v>37</v>
      </c>
      <c r="L33" s="184">
        <f t="shared" ref="L33:L34" si="12">IF(K33="","",IF(K33="AB",AB,IF(K33="TC","TC",(K33/L$6)*100)))</f>
        <v>92.5</v>
      </c>
      <c r="M33" s="194"/>
      <c r="N33" s="170" t="str">
        <f t="shared" si="5"/>
        <v/>
      </c>
      <c r="O33" s="197">
        <v>28</v>
      </c>
      <c r="P33" s="184">
        <f t="shared" ref="P33:P34" si="13">IF(O33="","",IF(O33="AB",AB,IF(O33="TC","TC",(O33/P$6)*100)))</f>
        <v>70</v>
      </c>
      <c r="Q33" s="184">
        <f t="shared" si="7"/>
        <v>452.5</v>
      </c>
      <c r="R33" s="189">
        <f t="shared" si="8"/>
        <v>75.416666666666671</v>
      </c>
      <c r="S33" s="22"/>
    </row>
    <row r="34" spans="1:19" ht="14.4">
      <c r="A34" s="182">
        <v>27</v>
      </c>
      <c r="B34" s="190" t="s">
        <v>551</v>
      </c>
      <c r="C34" s="183">
        <v>37</v>
      </c>
      <c r="D34" s="184">
        <f t="shared" si="9"/>
        <v>92.5</v>
      </c>
      <c r="E34" s="183">
        <v>38</v>
      </c>
      <c r="F34" s="184">
        <f t="shared" si="10"/>
        <v>95</v>
      </c>
      <c r="G34" s="67">
        <v>28</v>
      </c>
      <c r="H34" s="184">
        <f t="shared" si="11"/>
        <v>70</v>
      </c>
      <c r="I34" s="67">
        <v>36</v>
      </c>
      <c r="J34" s="184">
        <f t="shared" si="3"/>
        <v>90</v>
      </c>
      <c r="K34" s="72">
        <v>40</v>
      </c>
      <c r="L34" s="184">
        <f t="shared" si="12"/>
        <v>100</v>
      </c>
      <c r="M34" s="194"/>
      <c r="N34" s="170" t="str">
        <f t="shared" si="5"/>
        <v/>
      </c>
      <c r="O34" s="191">
        <v>37</v>
      </c>
      <c r="P34" s="184">
        <f t="shared" si="13"/>
        <v>92.5</v>
      </c>
      <c r="Q34" s="184">
        <f t="shared" si="7"/>
        <v>540</v>
      </c>
      <c r="R34" s="189">
        <f t="shared" si="8"/>
        <v>90</v>
      </c>
      <c r="S34" s="22"/>
    </row>
    <row r="35" spans="1:19" ht="14.4">
      <c r="A35" s="182">
        <v>28</v>
      </c>
      <c r="B35" s="190" t="s">
        <v>552</v>
      </c>
      <c r="C35" s="183">
        <v>28</v>
      </c>
      <c r="D35" s="184">
        <f t="shared" si="9"/>
        <v>70</v>
      </c>
      <c r="E35" s="196" t="s">
        <v>24</v>
      </c>
      <c r="F35" s="196" t="s">
        <v>24</v>
      </c>
      <c r="G35" s="196" t="s">
        <v>24</v>
      </c>
      <c r="H35" s="196" t="s">
        <v>24</v>
      </c>
      <c r="I35" s="196" t="s">
        <v>24</v>
      </c>
      <c r="J35" s="196" t="s">
        <v>24</v>
      </c>
      <c r="K35" s="198">
        <v>25</v>
      </c>
      <c r="L35" s="198"/>
      <c r="M35" s="194"/>
      <c r="N35" s="170" t="str">
        <f t="shared" si="5"/>
        <v/>
      </c>
      <c r="O35" s="196" t="s">
        <v>24</v>
      </c>
      <c r="P35" s="196" t="s">
        <v>24</v>
      </c>
      <c r="Q35" s="184">
        <f t="shared" si="7"/>
        <v>70</v>
      </c>
      <c r="R35" s="189">
        <f t="shared" si="8"/>
        <v>11.666666666666666</v>
      </c>
      <c r="S35" s="22"/>
    </row>
    <row r="36" spans="1:19" ht="14.4">
      <c r="A36" s="182">
        <v>29</v>
      </c>
      <c r="B36" s="190" t="s">
        <v>553</v>
      </c>
      <c r="C36" s="183">
        <v>28</v>
      </c>
      <c r="D36" s="184">
        <f t="shared" si="9"/>
        <v>70</v>
      </c>
      <c r="E36" s="183">
        <v>23</v>
      </c>
      <c r="F36" s="184">
        <f t="shared" ref="F36:F56" si="14">IF(E36="","",IF(E36="AB",AB,IF(E36="TC","TC",(E36/F$6)*100)))</f>
        <v>57.499999999999993</v>
      </c>
      <c r="G36" s="67">
        <v>24</v>
      </c>
      <c r="H36" s="184">
        <f t="shared" ref="H36:H56" si="15">IF(G36="","",IF(G36="AB",AB,IF(G36="TC","TC",(G36/H$6)*100)))</f>
        <v>60</v>
      </c>
      <c r="I36" s="67">
        <v>39</v>
      </c>
      <c r="J36" s="184">
        <f t="shared" ref="J36:J56" si="16">IF(I36="","",IF(I36="AB",AB,IF(I36="TC","TC",(I36/J$6)*100)))</f>
        <v>97.5</v>
      </c>
      <c r="K36" s="72">
        <v>34</v>
      </c>
      <c r="L36" s="184">
        <f t="shared" ref="L36:L56" si="17">IF(K36="","",IF(K36="AB",AB,IF(K36="TC","TC",(K36/L$6)*100)))</f>
        <v>85</v>
      </c>
      <c r="M36" s="194"/>
      <c r="N36" s="170" t="str">
        <f t="shared" si="5"/>
        <v/>
      </c>
      <c r="O36" s="197">
        <v>25</v>
      </c>
      <c r="P36" s="184">
        <f t="shared" ref="P36:P56" si="18">IF(O36="","",IF(O36="AB",AB,IF(O36="TC","TC",(O36/P$6)*100)))</f>
        <v>62.5</v>
      </c>
      <c r="Q36" s="184">
        <f t="shared" si="7"/>
        <v>432.5</v>
      </c>
      <c r="R36" s="189">
        <f t="shared" si="8"/>
        <v>72.083333333333329</v>
      </c>
      <c r="S36" s="22"/>
    </row>
    <row r="37" spans="1:19" ht="14.4">
      <c r="A37" s="182">
        <v>30</v>
      </c>
      <c r="B37" s="190" t="s">
        <v>554</v>
      </c>
      <c r="C37" s="183">
        <v>36</v>
      </c>
      <c r="D37" s="184">
        <f t="shared" si="9"/>
        <v>90</v>
      </c>
      <c r="E37" s="183">
        <v>25</v>
      </c>
      <c r="F37" s="184">
        <f t="shared" si="14"/>
        <v>62.5</v>
      </c>
      <c r="G37" s="67">
        <v>20</v>
      </c>
      <c r="H37" s="184">
        <f t="shared" si="15"/>
        <v>50</v>
      </c>
      <c r="I37" s="67">
        <v>30</v>
      </c>
      <c r="J37" s="184">
        <f t="shared" si="16"/>
        <v>75</v>
      </c>
      <c r="K37" s="72">
        <v>40</v>
      </c>
      <c r="L37" s="184">
        <f t="shared" si="17"/>
        <v>100</v>
      </c>
      <c r="M37" s="194"/>
      <c r="N37" s="170" t="str">
        <f t="shared" si="5"/>
        <v/>
      </c>
      <c r="O37" s="197">
        <v>28</v>
      </c>
      <c r="P37" s="184">
        <f t="shared" si="18"/>
        <v>70</v>
      </c>
      <c r="Q37" s="184">
        <f t="shared" si="7"/>
        <v>447.5</v>
      </c>
      <c r="R37" s="189">
        <f t="shared" si="8"/>
        <v>74.583333333333329</v>
      </c>
      <c r="S37" s="22"/>
    </row>
    <row r="38" spans="1:19" ht="14.4">
      <c r="A38" s="182">
        <v>31</v>
      </c>
      <c r="B38" s="190" t="s">
        <v>555</v>
      </c>
      <c r="C38" s="183">
        <v>27</v>
      </c>
      <c r="D38" s="184">
        <f t="shared" si="9"/>
        <v>67.5</v>
      </c>
      <c r="E38" s="183">
        <v>14</v>
      </c>
      <c r="F38" s="184">
        <f t="shared" si="14"/>
        <v>35</v>
      </c>
      <c r="G38" s="67">
        <v>8</v>
      </c>
      <c r="H38" s="185">
        <f t="shared" si="15"/>
        <v>20</v>
      </c>
      <c r="I38" s="67">
        <v>13</v>
      </c>
      <c r="J38" s="184">
        <f t="shared" si="16"/>
        <v>32.5</v>
      </c>
      <c r="K38" s="72">
        <v>20</v>
      </c>
      <c r="L38" s="184">
        <f t="shared" si="17"/>
        <v>50</v>
      </c>
      <c r="M38" s="194"/>
      <c r="N38" s="170" t="str">
        <f t="shared" si="5"/>
        <v/>
      </c>
      <c r="O38" s="197">
        <v>13</v>
      </c>
      <c r="P38" s="184">
        <f t="shared" si="18"/>
        <v>32.5</v>
      </c>
      <c r="Q38" s="184">
        <f t="shared" si="7"/>
        <v>237.5</v>
      </c>
      <c r="R38" s="189">
        <f t="shared" si="8"/>
        <v>39.583333333333329</v>
      </c>
      <c r="S38" s="22"/>
    </row>
    <row r="39" spans="1:19" ht="14.4">
      <c r="A39" s="182">
        <v>32</v>
      </c>
      <c r="B39" s="190" t="s">
        <v>556</v>
      </c>
      <c r="C39" s="183">
        <v>24</v>
      </c>
      <c r="D39" s="184">
        <f t="shared" si="9"/>
        <v>60</v>
      </c>
      <c r="E39" s="183">
        <v>14</v>
      </c>
      <c r="F39" s="184">
        <f t="shared" si="14"/>
        <v>35</v>
      </c>
      <c r="G39" s="67">
        <v>8</v>
      </c>
      <c r="H39" s="185">
        <f t="shared" si="15"/>
        <v>20</v>
      </c>
      <c r="I39" s="67">
        <v>24</v>
      </c>
      <c r="J39" s="184">
        <f t="shared" si="16"/>
        <v>60</v>
      </c>
      <c r="K39" s="72">
        <v>32</v>
      </c>
      <c r="L39" s="184">
        <f t="shared" si="17"/>
        <v>80</v>
      </c>
      <c r="M39" s="194"/>
      <c r="N39" s="170" t="str">
        <f t="shared" si="5"/>
        <v/>
      </c>
      <c r="O39" s="197">
        <v>25</v>
      </c>
      <c r="P39" s="184">
        <f t="shared" si="18"/>
        <v>62.5</v>
      </c>
      <c r="Q39" s="184">
        <f t="shared" si="7"/>
        <v>317.5</v>
      </c>
      <c r="R39" s="189">
        <f t="shared" si="8"/>
        <v>52.916666666666664</v>
      </c>
      <c r="S39" s="22"/>
    </row>
    <row r="40" spans="1:19" ht="14.4">
      <c r="A40" s="182">
        <v>33</v>
      </c>
      <c r="B40" s="190" t="s">
        <v>557</v>
      </c>
      <c r="C40" s="183">
        <v>28</v>
      </c>
      <c r="D40" s="184">
        <f t="shared" si="9"/>
        <v>70</v>
      </c>
      <c r="E40" s="183">
        <v>14</v>
      </c>
      <c r="F40" s="184">
        <f t="shared" si="14"/>
        <v>35</v>
      </c>
      <c r="G40" s="67">
        <v>18</v>
      </c>
      <c r="H40" s="184">
        <f t="shared" si="15"/>
        <v>45</v>
      </c>
      <c r="I40" s="67">
        <v>26</v>
      </c>
      <c r="J40" s="184">
        <f t="shared" si="16"/>
        <v>65</v>
      </c>
      <c r="K40" s="72">
        <v>30</v>
      </c>
      <c r="L40" s="184">
        <f t="shared" si="17"/>
        <v>75</v>
      </c>
      <c r="M40" s="194"/>
      <c r="N40" s="170" t="str">
        <f t="shared" si="5"/>
        <v/>
      </c>
      <c r="O40" s="197">
        <v>21</v>
      </c>
      <c r="P40" s="184">
        <f t="shared" si="18"/>
        <v>52.5</v>
      </c>
      <c r="Q40" s="184">
        <f t="shared" si="7"/>
        <v>342.5</v>
      </c>
      <c r="R40" s="189">
        <f t="shared" si="8"/>
        <v>57.083333333333329</v>
      </c>
      <c r="S40" s="22"/>
    </row>
    <row r="41" spans="1:19" ht="14.4">
      <c r="A41" s="182">
        <v>34</v>
      </c>
      <c r="B41" s="190" t="s">
        <v>558</v>
      </c>
      <c r="C41" s="183">
        <v>34</v>
      </c>
      <c r="D41" s="184">
        <f t="shared" si="9"/>
        <v>85</v>
      </c>
      <c r="E41" s="183">
        <v>35</v>
      </c>
      <c r="F41" s="184">
        <f t="shared" si="14"/>
        <v>87.5</v>
      </c>
      <c r="G41" s="67">
        <v>30</v>
      </c>
      <c r="H41" s="184">
        <f t="shared" si="15"/>
        <v>75</v>
      </c>
      <c r="I41" s="67">
        <v>36</v>
      </c>
      <c r="J41" s="184">
        <f t="shared" si="16"/>
        <v>90</v>
      </c>
      <c r="K41" s="72">
        <v>38</v>
      </c>
      <c r="L41" s="184">
        <f t="shared" si="17"/>
        <v>95</v>
      </c>
      <c r="M41" s="194"/>
      <c r="N41" s="170" t="str">
        <f t="shared" si="5"/>
        <v/>
      </c>
      <c r="O41" s="197">
        <v>34</v>
      </c>
      <c r="P41" s="184">
        <f t="shared" si="18"/>
        <v>85</v>
      </c>
      <c r="Q41" s="184">
        <f t="shared" si="7"/>
        <v>517.5</v>
      </c>
      <c r="R41" s="189">
        <f t="shared" si="8"/>
        <v>86.25</v>
      </c>
      <c r="S41" s="22"/>
    </row>
    <row r="42" spans="1:19" ht="14.4">
      <c r="A42" s="182">
        <v>35</v>
      </c>
      <c r="B42" s="190" t="s">
        <v>559</v>
      </c>
      <c r="C42" s="183">
        <v>36</v>
      </c>
      <c r="D42" s="184">
        <f t="shared" si="9"/>
        <v>90</v>
      </c>
      <c r="E42" s="183">
        <v>26</v>
      </c>
      <c r="F42" s="184">
        <f t="shared" si="14"/>
        <v>65</v>
      </c>
      <c r="G42" s="67">
        <v>27</v>
      </c>
      <c r="H42" s="184">
        <f t="shared" si="15"/>
        <v>67.5</v>
      </c>
      <c r="I42" s="67">
        <v>37</v>
      </c>
      <c r="J42" s="184">
        <f t="shared" si="16"/>
        <v>92.5</v>
      </c>
      <c r="K42" s="72">
        <v>38</v>
      </c>
      <c r="L42" s="184">
        <f t="shared" si="17"/>
        <v>95</v>
      </c>
      <c r="M42" s="194"/>
      <c r="N42" s="170" t="str">
        <f t="shared" si="5"/>
        <v/>
      </c>
      <c r="O42" s="197">
        <v>30</v>
      </c>
      <c r="P42" s="184">
        <f t="shared" si="18"/>
        <v>75</v>
      </c>
      <c r="Q42" s="184">
        <f t="shared" si="7"/>
        <v>485</v>
      </c>
      <c r="R42" s="189">
        <f t="shared" si="8"/>
        <v>80.833333333333329</v>
      </c>
      <c r="S42" s="22"/>
    </row>
    <row r="43" spans="1:19" ht="14.4">
      <c r="A43" s="182">
        <v>36</v>
      </c>
      <c r="B43" s="190" t="s">
        <v>560</v>
      </c>
      <c r="C43" s="183">
        <v>19</v>
      </c>
      <c r="D43" s="184">
        <f t="shared" si="9"/>
        <v>47.5</v>
      </c>
      <c r="E43" s="183"/>
      <c r="F43" s="37" t="str">
        <f t="shared" si="14"/>
        <v/>
      </c>
      <c r="G43" s="67">
        <v>9</v>
      </c>
      <c r="H43" s="185">
        <f t="shared" si="15"/>
        <v>22.5</v>
      </c>
      <c r="I43" s="67">
        <v>13</v>
      </c>
      <c r="J43" s="184">
        <f t="shared" si="16"/>
        <v>32.5</v>
      </c>
      <c r="K43" s="72">
        <v>16</v>
      </c>
      <c r="L43" s="184">
        <f t="shared" si="17"/>
        <v>40</v>
      </c>
      <c r="M43" s="199">
        <v>14</v>
      </c>
      <c r="N43" s="184">
        <f t="shared" si="5"/>
        <v>35</v>
      </c>
      <c r="O43" s="197">
        <v>17</v>
      </c>
      <c r="P43" s="184">
        <f t="shared" si="18"/>
        <v>42.5</v>
      </c>
      <c r="Q43" s="184">
        <f t="shared" si="7"/>
        <v>220</v>
      </c>
      <c r="R43" s="189">
        <f t="shared" si="8"/>
        <v>36.666666666666664</v>
      </c>
      <c r="S43" s="22"/>
    </row>
    <row r="44" spans="1:19" ht="14.4">
      <c r="A44" s="182">
        <v>37</v>
      </c>
      <c r="B44" s="190" t="s">
        <v>561</v>
      </c>
      <c r="C44" s="183">
        <v>38</v>
      </c>
      <c r="D44" s="184">
        <f t="shared" si="9"/>
        <v>95</v>
      </c>
      <c r="E44" s="183"/>
      <c r="F44" s="37" t="str">
        <f t="shared" si="14"/>
        <v/>
      </c>
      <c r="G44" s="67">
        <v>36</v>
      </c>
      <c r="H44" s="184">
        <f t="shared" si="15"/>
        <v>90</v>
      </c>
      <c r="I44" s="67">
        <v>39</v>
      </c>
      <c r="J44" s="184">
        <f t="shared" si="16"/>
        <v>97.5</v>
      </c>
      <c r="K44" s="72">
        <v>40</v>
      </c>
      <c r="L44" s="184">
        <f t="shared" si="17"/>
        <v>100</v>
      </c>
      <c r="M44" s="199">
        <v>40</v>
      </c>
      <c r="N44" s="184">
        <f t="shared" si="5"/>
        <v>100</v>
      </c>
      <c r="O44" s="197">
        <v>40</v>
      </c>
      <c r="P44" s="184">
        <f t="shared" si="18"/>
        <v>100</v>
      </c>
      <c r="Q44" s="184">
        <f t="shared" si="7"/>
        <v>582.5</v>
      </c>
      <c r="R44" s="189">
        <f t="shared" si="8"/>
        <v>97.083333333333329</v>
      </c>
      <c r="S44" s="22"/>
    </row>
    <row r="45" spans="1:19" ht="14.4">
      <c r="A45" s="182">
        <v>38</v>
      </c>
      <c r="B45" s="190" t="s">
        <v>562</v>
      </c>
      <c r="C45" s="183">
        <v>26</v>
      </c>
      <c r="D45" s="184">
        <f t="shared" si="9"/>
        <v>65</v>
      </c>
      <c r="E45" s="183"/>
      <c r="F45" s="37" t="str">
        <f t="shared" si="14"/>
        <v/>
      </c>
      <c r="G45" s="67">
        <v>18</v>
      </c>
      <c r="H45" s="184">
        <f t="shared" si="15"/>
        <v>45</v>
      </c>
      <c r="I45" s="67">
        <v>14</v>
      </c>
      <c r="J45" s="184">
        <f t="shared" si="16"/>
        <v>35</v>
      </c>
      <c r="K45" s="72">
        <v>18</v>
      </c>
      <c r="L45" s="184">
        <f t="shared" si="17"/>
        <v>45</v>
      </c>
      <c r="M45" s="199">
        <v>21</v>
      </c>
      <c r="N45" s="184">
        <f t="shared" si="5"/>
        <v>52.5</v>
      </c>
      <c r="O45" s="197">
        <v>13</v>
      </c>
      <c r="P45" s="184">
        <f t="shared" si="18"/>
        <v>32.5</v>
      </c>
      <c r="Q45" s="184">
        <f t="shared" si="7"/>
        <v>275</v>
      </c>
      <c r="R45" s="189">
        <f t="shared" si="8"/>
        <v>45.833333333333329</v>
      </c>
      <c r="S45" s="22"/>
    </row>
    <row r="46" spans="1:19" ht="14.4">
      <c r="A46" s="182">
        <v>39</v>
      </c>
      <c r="B46" s="190" t="s">
        <v>563</v>
      </c>
      <c r="C46" s="183">
        <v>35</v>
      </c>
      <c r="D46" s="184">
        <f t="shared" si="9"/>
        <v>87.5</v>
      </c>
      <c r="E46" s="183"/>
      <c r="F46" s="37" t="str">
        <f t="shared" si="14"/>
        <v/>
      </c>
      <c r="G46" s="67">
        <v>24</v>
      </c>
      <c r="H46" s="184">
        <f t="shared" si="15"/>
        <v>60</v>
      </c>
      <c r="I46" s="67">
        <v>27</v>
      </c>
      <c r="J46" s="184">
        <f t="shared" si="16"/>
        <v>67.5</v>
      </c>
      <c r="K46" s="72">
        <v>32</v>
      </c>
      <c r="L46" s="184">
        <f t="shared" si="17"/>
        <v>80</v>
      </c>
      <c r="M46" s="199">
        <v>31</v>
      </c>
      <c r="N46" s="184">
        <f t="shared" si="5"/>
        <v>77.5</v>
      </c>
      <c r="O46" s="197">
        <v>26</v>
      </c>
      <c r="P46" s="184">
        <f t="shared" si="18"/>
        <v>65</v>
      </c>
      <c r="Q46" s="184">
        <f t="shared" si="7"/>
        <v>437.5</v>
      </c>
      <c r="R46" s="189">
        <f t="shared" si="8"/>
        <v>72.916666666666657</v>
      </c>
      <c r="S46" s="22"/>
    </row>
    <row r="47" spans="1:19" ht="14.4">
      <c r="A47" s="182">
        <v>40</v>
      </c>
      <c r="B47" s="190" t="s">
        <v>564</v>
      </c>
      <c r="C47" s="183">
        <v>29</v>
      </c>
      <c r="D47" s="184">
        <f t="shared" si="9"/>
        <v>72.5</v>
      </c>
      <c r="E47" s="183"/>
      <c r="F47" s="37" t="str">
        <f t="shared" si="14"/>
        <v/>
      </c>
      <c r="G47" s="67">
        <v>17</v>
      </c>
      <c r="H47" s="184">
        <f t="shared" si="15"/>
        <v>42.5</v>
      </c>
      <c r="I47" s="72">
        <v>32</v>
      </c>
      <c r="J47" s="184">
        <f t="shared" si="16"/>
        <v>80</v>
      </c>
      <c r="K47" s="72">
        <v>26</v>
      </c>
      <c r="L47" s="184">
        <f t="shared" si="17"/>
        <v>65</v>
      </c>
      <c r="M47" s="199">
        <v>24</v>
      </c>
      <c r="N47" s="184">
        <f t="shared" si="5"/>
        <v>60</v>
      </c>
      <c r="O47" s="200">
        <v>26</v>
      </c>
      <c r="P47" s="184">
        <f t="shared" si="18"/>
        <v>65</v>
      </c>
      <c r="Q47" s="184">
        <f t="shared" si="7"/>
        <v>385</v>
      </c>
      <c r="R47" s="189">
        <f t="shared" si="8"/>
        <v>64.166666666666671</v>
      </c>
      <c r="S47" s="22"/>
    </row>
    <row r="48" spans="1:19" ht="14.4">
      <c r="A48" s="182">
        <v>41</v>
      </c>
      <c r="B48" s="190" t="s">
        <v>565</v>
      </c>
      <c r="C48" s="201">
        <v>25</v>
      </c>
      <c r="D48" s="184">
        <f t="shared" si="9"/>
        <v>62.5</v>
      </c>
      <c r="E48" s="183"/>
      <c r="F48" s="37" t="str">
        <f t="shared" si="14"/>
        <v/>
      </c>
      <c r="G48" s="72">
        <v>15</v>
      </c>
      <c r="H48" s="184">
        <f t="shared" si="15"/>
        <v>37.5</v>
      </c>
      <c r="I48" s="72">
        <v>9</v>
      </c>
      <c r="J48" s="184">
        <f t="shared" si="16"/>
        <v>22.5</v>
      </c>
      <c r="K48" s="72">
        <v>25</v>
      </c>
      <c r="L48" s="184">
        <f t="shared" si="17"/>
        <v>62.5</v>
      </c>
      <c r="M48" s="199">
        <v>7</v>
      </c>
      <c r="N48" s="184">
        <f t="shared" si="5"/>
        <v>17.5</v>
      </c>
      <c r="O48" s="200">
        <v>14</v>
      </c>
      <c r="P48" s="184">
        <f t="shared" si="18"/>
        <v>35</v>
      </c>
      <c r="Q48" s="184">
        <f t="shared" si="7"/>
        <v>237.5</v>
      </c>
      <c r="R48" s="189">
        <f t="shared" si="8"/>
        <v>39.583333333333329</v>
      </c>
      <c r="S48" s="22"/>
    </row>
    <row r="49" spans="1:19" ht="14.4">
      <c r="A49" s="182">
        <v>42</v>
      </c>
      <c r="B49" s="190" t="s">
        <v>566</v>
      </c>
      <c r="C49" s="201">
        <v>37</v>
      </c>
      <c r="D49" s="184">
        <f t="shared" si="9"/>
        <v>92.5</v>
      </c>
      <c r="E49" s="183"/>
      <c r="F49" s="37" t="str">
        <f t="shared" si="14"/>
        <v/>
      </c>
      <c r="G49" s="72">
        <v>20</v>
      </c>
      <c r="H49" s="184">
        <f t="shared" si="15"/>
        <v>50</v>
      </c>
      <c r="I49" s="72">
        <v>33</v>
      </c>
      <c r="J49" s="184">
        <f t="shared" si="16"/>
        <v>82.5</v>
      </c>
      <c r="K49" s="72">
        <v>33</v>
      </c>
      <c r="L49" s="184">
        <f t="shared" si="17"/>
        <v>82.5</v>
      </c>
      <c r="M49" s="199">
        <v>22</v>
      </c>
      <c r="N49" s="184">
        <f t="shared" si="5"/>
        <v>55.000000000000007</v>
      </c>
      <c r="O49" s="200">
        <v>28</v>
      </c>
      <c r="P49" s="184">
        <f t="shared" si="18"/>
        <v>70</v>
      </c>
      <c r="Q49" s="184">
        <f t="shared" si="7"/>
        <v>432.5</v>
      </c>
      <c r="R49" s="189">
        <f t="shared" si="8"/>
        <v>72.083333333333329</v>
      </c>
      <c r="S49" s="22"/>
    </row>
    <row r="50" spans="1:19" ht="14.4">
      <c r="A50" s="182">
        <v>43</v>
      </c>
      <c r="B50" s="190" t="s">
        <v>567</v>
      </c>
      <c r="C50" s="201">
        <v>14</v>
      </c>
      <c r="D50" s="184">
        <f t="shared" si="9"/>
        <v>35</v>
      </c>
      <c r="E50" s="183"/>
      <c r="F50" s="37" t="str">
        <f t="shared" si="14"/>
        <v/>
      </c>
      <c r="G50" s="72">
        <v>3</v>
      </c>
      <c r="H50" s="185">
        <f t="shared" si="15"/>
        <v>7.5</v>
      </c>
      <c r="I50" s="72">
        <v>2</v>
      </c>
      <c r="J50" s="184">
        <f t="shared" si="16"/>
        <v>5</v>
      </c>
      <c r="K50" s="72">
        <v>5</v>
      </c>
      <c r="L50" s="185">
        <f t="shared" si="17"/>
        <v>12.5</v>
      </c>
      <c r="M50" s="199">
        <v>3</v>
      </c>
      <c r="N50" s="185">
        <f t="shared" si="5"/>
        <v>7.5</v>
      </c>
      <c r="O50" s="200">
        <v>2</v>
      </c>
      <c r="P50" s="185">
        <f t="shared" si="18"/>
        <v>5</v>
      </c>
      <c r="Q50" s="184">
        <f t="shared" si="7"/>
        <v>72.5</v>
      </c>
      <c r="R50" s="189">
        <f t="shared" si="8"/>
        <v>12.083333333333334</v>
      </c>
      <c r="S50" s="22"/>
    </row>
    <row r="51" spans="1:19" ht="14.4">
      <c r="A51" s="182">
        <v>44</v>
      </c>
      <c r="B51" s="202" t="s">
        <v>568</v>
      </c>
      <c r="C51" s="199">
        <v>17</v>
      </c>
      <c r="D51" s="184">
        <f t="shared" si="9"/>
        <v>42.5</v>
      </c>
      <c r="E51" s="183"/>
      <c r="F51" s="37" t="str">
        <f t="shared" si="14"/>
        <v/>
      </c>
      <c r="G51" s="195">
        <v>15</v>
      </c>
      <c r="H51" s="203">
        <f t="shared" si="15"/>
        <v>37.5</v>
      </c>
      <c r="I51" s="72">
        <v>20</v>
      </c>
      <c r="J51" s="184">
        <f t="shared" si="16"/>
        <v>50</v>
      </c>
      <c r="K51" s="72">
        <v>27</v>
      </c>
      <c r="L51" s="184">
        <f t="shared" si="17"/>
        <v>67.5</v>
      </c>
      <c r="M51" s="199">
        <v>21</v>
      </c>
      <c r="N51" s="184">
        <f t="shared" si="5"/>
        <v>52.5</v>
      </c>
      <c r="O51" s="200">
        <v>19</v>
      </c>
      <c r="P51" s="184">
        <f t="shared" si="18"/>
        <v>47.5</v>
      </c>
      <c r="Q51" s="184">
        <f t="shared" si="7"/>
        <v>297.5</v>
      </c>
      <c r="R51" s="189">
        <f t="shared" si="8"/>
        <v>49.583333333333336</v>
      </c>
      <c r="S51" s="22"/>
    </row>
    <row r="52" spans="1:19" ht="14.4">
      <c r="A52" s="105"/>
      <c r="B52" s="22"/>
      <c r="C52" s="37"/>
      <c r="D52" s="37" t="str">
        <f t="shared" si="9"/>
        <v/>
      </c>
      <c r="E52" s="183"/>
      <c r="F52" s="37" t="str">
        <f t="shared" si="14"/>
        <v/>
      </c>
      <c r="G52" s="38"/>
      <c r="H52" s="37" t="str">
        <f t="shared" si="15"/>
        <v/>
      </c>
      <c r="I52" s="22"/>
      <c r="J52" s="37" t="str">
        <f t="shared" si="16"/>
        <v/>
      </c>
      <c r="K52" s="37"/>
      <c r="L52" s="37" t="str">
        <f t="shared" si="17"/>
        <v/>
      </c>
      <c r="M52" s="194"/>
      <c r="N52" s="170" t="str">
        <f t="shared" si="5"/>
        <v/>
      </c>
      <c r="O52" s="37"/>
      <c r="P52" s="37" t="str">
        <f t="shared" si="18"/>
        <v/>
      </c>
      <c r="Q52" s="37"/>
      <c r="R52" s="39"/>
      <c r="S52" s="22"/>
    </row>
    <row r="53" spans="1:19" ht="14.4">
      <c r="A53" s="105"/>
      <c r="B53" s="22"/>
      <c r="C53" s="37"/>
      <c r="D53" s="37" t="str">
        <f t="shared" si="9"/>
        <v/>
      </c>
      <c r="E53" s="183"/>
      <c r="F53" s="37" t="str">
        <f t="shared" si="14"/>
        <v/>
      </c>
      <c r="G53" s="38"/>
      <c r="H53" s="37" t="str">
        <f t="shared" si="15"/>
        <v/>
      </c>
      <c r="I53" s="22"/>
      <c r="J53" s="37" t="str">
        <f t="shared" si="16"/>
        <v/>
      </c>
      <c r="K53" s="37"/>
      <c r="L53" s="37" t="str">
        <f t="shared" si="17"/>
        <v/>
      </c>
      <c r="M53" s="194"/>
      <c r="N53" s="170" t="str">
        <f t="shared" si="5"/>
        <v/>
      </c>
      <c r="O53" s="37"/>
      <c r="P53" s="37" t="str">
        <f t="shared" si="18"/>
        <v/>
      </c>
      <c r="Q53" s="37"/>
      <c r="R53" s="39"/>
      <c r="S53" s="22"/>
    </row>
    <row r="54" spans="1:19" ht="14.4">
      <c r="A54" s="105"/>
      <c r="B54" s="22"/>
      <c r="C54" s="37"/>
      <c r="D54" s="37" t="str">
        <f t="shared" si="9"/>
        <v/>
      </c>
      <c r="E54" s="183"/>
      <c r="F54" s="37" t="str">
        <f t="shared" si="14"/>
        <v/>
      </c>
      <c r="G54" s="38"/>
      <c r="H54" s="37" t="str">
        <f t="shared" si="15"/>
        <v/>
      </c>
      <c r="I54" s="22"/>
      <c r="J54" s="37" t="str">
        <f t="shared" si="16"/>
        <v/>
      </c>
      <c r="K54" s="37"/>
      <c r="L54" s="37" t="str">
        <f t="shared" si="17"/>
        <v/>
      </c>
      <c r="M54" s="170"/>
      <c r="N54" s="170" t="str">
        <f t="shared" si="5"/>
        <v/>
      </c>
      <c r="O54" s="37"/>
      <c r="P54" s="37" t="str">
        <f t="shared" si="18"/>
        <v/>
      </c>
      <c r="Q54" s="37"/>
      <c r="R54" s="39"/>
      <c r="S54" s="22"/>
    </row>
    <row r="55" spans="1:19" ht="14.4">
      <c r="A55" s="105"/>
      <c r="B55" s="22"/>
      <c r="C55" s="37"/>
      <c r="D55" s="37" t="str">
        <f t="shared" si="9"/>
        <v/>
      </c>
      <c r="E55" s="183"/>
      <c r="F55" s="37" t="str">
        <f t="shared" si="14"/>
        <v/>
      </c>
      <c r="G55" s="38"/>
      <c r="H55" s="37" t="str">
        <f t="shared" si="15"/>
        <v/>
      </c>
      <c r="I55" s="22"/>
      <c r="J55" s="37" t="str">
        <f t="shared" si="16"/>
        <v/>
      </c>
      <c r="K55" s="37"/>
      <c r="L55" s="37" t="str">
        <f t="shared" si="17"/>
        <v/>
      </c>
      <c r="M55" s="37"/>
      <c r="N55" s="37" t="str">
        <f t="shared" si="5"/>
        <v/>
      </c>
      <c r="O55" s="37"/>
      <c r="P55" s="37" t="str">
        <f t="shared" si="18"/>
        <v/>
      </c>
      <c r="Q55" s="37"/>
      <c r="R55" s="39"/>
      <c r="S55" s="22"/>
    </row>
    <row r="56" spans="1:19" ht="14.4">
      <c r="A56" s="403" t="s">
        <v>70</v>
      </c>
      <c r="B56" s="362"/>
      <c r="C56" s="204">
        <f>IF(C59=0,"",SUM(C8:C51)/C59)</f>
        <v>31.023255813953487</v>
      </c>
      <c r="D56" s="184">
        <f t="shared" si="9"/>
        <v>77.558139534883722</v>
      </c>
      <c r="E56" s="204">
        <f>IF(E59=0,"",SUM(E8:E51)/E59)</f>
        <v>24.096774193548388</v>
      </c>
      <c r="F56" s="184">
        <f t="shared" si="14"/>
        <v>60.241935483870968</v>
      </c>
      <c r="G56" s="204">
        <f>IF(G59=0,"",SUM(G8:G51)/G59)</f>
        <v>20.904761904761905</v>
      </c>
      <c r="H56" s="184">
        <f t="shared" si="15"/>
        <v>52.261904761904766</v>
      </c>
      <c r="I56" s="204">
        <f>IF(I59=0,"",SUM(I8:I51)/I59)</f>
        <v>29.333333333333332</v>
      </c>
      <c r="J56" s="184">
        <f t="shared" si="16"/>
        <v>73.333333333333329</v>
      </c>
      <c r="K56" s="204">
        <f>IF(K59=0,"",SUM(K8:K51)/K59)</f>
        <v>31.904761904761905</v>
      </c>
      <c r="L56" s="184">
        <f t="shared" si="17"/>
        <v>79.761904761904773</v>
      </c>
      <c r="M56" s="204">
        <f>IF(M59=0,"",SUM(M8:M51)/M59)</f>
        <v>21.454545454545453</v>
      </c>
      <c r="N56" s="184">
        <f t="shared" si="5"/>
        <v>53.63636363636364</v>
      </c>
      <c r="O56" s="204">
        <f>IF(O59=0,"",SUM(O8:O51)/O59)</f>
        <v>25.714285714285715</v>
      </c>
      <c r="P56" s="184">
        <f t="shared" si="18"/>
        <v>64.285714285714292</v>
      </c>
      <c r="Q56" s="204" t="e">
        <f t="shared" ref="Q56:R56" si="19">IF(Q59=0,"",SUM(Q8:Q51)/Q59)</f>
        <v>#VALUE!</v>
      </c>
      <c r="R56" s="39" t="str">
        <f t="shared" si="19"/>
        <v/>
      </c>
      <c r="S56" s="39"/>
    </row>
    <row r="57" spans="1:19" ht="27.6">
      <c r="A57" s="408" t="s">
        <v>71</v>
      </c>
      <c r="B57" s="53" t="s">
        <v>72</v>
      </c>
      <c r="C57" s="402">
        <f>COUNTA(C8:C55)</f>
        <v>44</v>
      </c>
      <c r="D57" s="360"/>
      <c r="E57" s="402">
        <f>COUNTA(E8:E55)</f>
        <v>35</v>
      </c>
      <c r="F57" s="360"/>
      <c r="G57" s="402">
        <f>COUNTA(G8:G55)</f>
        <v>44</v>
      </c>
      <c r="H57" s="360"/>
      <c r="I57" s="402">
        <f>COUNTA(I8:I55)</f>
        <v>44</v>
      </c>
      <c r="J57" s="360"/>
      <c r="K57" s="402">
        <f>COUNTA(K8:K55)</f>
        <v>44</v>
      </c>
      <c r="L57" s="360"/>
      <c r="M57" s="402">
        <f>COUNTA(M8:M55)</f>
        <v>11</v>
      </c>
      <c r="N57" s="360"/>
      <c r="O57" s="402">
        <f>COUNTA(O8:O55)</f>
        <v>44</v>
      </c>
      <c r="P57" s="360"/>
      <c r="Q57" s="402" t="s">
        <v>15</v>
      </c>
      <c r="R57" s="378"/>
      <c r="S57" s="360"/>
    </row>
    <row r="58" spans="1:19" ht="13.8">
      <c r="A58" s="381"/>
      <c r="B58" s="180" t="s">
        <v>73</v>
      </c>
      <c r="C58" s="403">
        <f>C57-C59</f>
        <v>1</v>
      </c>
      <c r="D58" s="362"/>
      <c r="E58" s="403">
        <f>E57-E59</f>
        <v>4</v>
      </c>
      <c r="F58" s="362"/>
      <c r="G58" s="403">
        <f>G57-G59</f>
        <v>2</v>
      </c>
      <c r="H58" s="362"/>
      <c r="I58" s="403">
        <f>I57-I59</f>
        <v>2</v>
      </c>
      <c r="J58" s="362"/>
      <c r="K58" s="403">
        <f>K57-K59</f>
        <v>2</v>
      </c>
      <c r="L58" s="362"/>
      <c r="M58" s="403">
        <f>M57-M59</f>
        <v>0</v>
      </c>
      <c r="N58" s="362"/>
      <c r="O58" s="403">
        <f>O57-O59</f>
        <v>2</v>
      </c>
      <c r="P58" s="362"/>
      <c r="Q58" s="403">
        <f>COUNTIF(T8:T55,0)</f>
        <v>0</v>
      </c>
      <c r="R58" s="364"/>
      <c r="S58" s="362"/>
    </row>
    <row r="59" spans="1:19" ht="13.8">
      <c r="A59" s="381"/>
      <c r="B59" s="6" t="s">
        <v>74</v>
      </c>
      <c r="C59" s="403">
        <f>COUNTIFS(D8:D55,"&gt;0")</f>
        <v>43</v>
      </c>
      <c r="D59" s="362"/>
      <c r="E59" s="403">
        <f>COUNTIFS(F8:F55,"&gt;0")</f>
        <v>31</v>
      </c>
      <c r="F59" s="362"/>
      <c r="G59" s="403">
        <f>COUNTIFS(H8:H55,"&gt;0")</f>
        <v>42</v>
      </c>
      <c r="H59" s="362"/>
      <c r="I59" s="403">
        <f>COUNTIFS(J8:J55,"&gt;0")</f>
        <v>42</v>
      </c>
      <c r="J59" s="362"/>
      <c r="K59" s="403">
        <f>COUNTIFS(L8:L55,"&gt;0")</f>
        <v>42</v>
      </c>
      <c r="L59" s="362"/>
      <c r="M59" s="403">
        <f>COUNTIFS(N8:N55,"&gt;0")</f>
        <v>11</v>
      </c>
      <c r="N59" s="362"/>
      <c r="O59" s="403">
        <f>COUNTIFS(P8:P55,"&gt;0")</f>
        <v>42</v>
      </c>
      <c r="P59" s="362"/>
      <c r="Q59" s="403">
        <f>COUNTIFS(R8:R55,"&gt;0")</f>
        <v>41</v>
      </c>
      <c r="R59" s="364"/>
      <c r="S59" s="362"/>
    </row>
    <row r="60" spans="1:19" ht="13.8">
      <c r="A60" s="381"/>
      <c r="B60" s="6" t="s">
        <v>75</v>
      </c>
      <c r="C60" s="403">
        <f>C59-C62</f>
        <v>43</v>
      </c>
      <c r="D60" s="362"/>
      <c r="E60" s="403">
        <f>E59-E62</f>
        <v>30</v>
      </c>
      <c r="F60" s="362"/>
      <c r="G60" s="403">
        <f>G59-G62</f>
        <v>35</v>
      </c>
      <c r="H60" s="362"/>
      <c r="I60" s="403">
        <f>I59-I62</f>
        <v>40</v>
      </c>
      <c r="J60" s="362"/>
      <c r="K60" s="403">
        <f>K59-K62</f>
        <v>41</v>
      </c>
      <c r="L60" s="362"/>
      <c r="M60" s="403">
        <f>M59-M62</f>
        <v>9</v>
      </c>
      <c r="N60" s="362"/>
      <c r="O60" s="403">
        <f>O59-O62</f>
        <v>41</v>
      </c>
      <c r="P60" s="362"/>
      <c r="Q60" s="403">
        <f>COUNTIF(S8:S55,"PASS")</f>
        <v>0</v>
      </c>
      <c r="R60" s="364"/>
      <c r="S60" s="362"/>
    </row>
    <row r="61" spans="1:19" ht="13.8">
      <c r="A61" s="381"/>
      <c r="B61" s="6" t="s">
        <v>76</v>
      </c>
      <c r="C61" s="404">
        <f>IF(C59=0,"",(C60/C59)*100)</f>
        <v>100</v>
      </c>
      <c r="D61" s="362"/>
      <c r="E61" s="404">
        <f>IF(E59=0,"",(E60/E59)*100)</f>
        <v>96.774193548387103</v>
      </c>
      <c r="F61" s="362"/>
      <c r="G61" s="404">
        <f>IF(G59=0,"",(G60/G59)*100)</f>
        <v>83.333333333333343</v>
      </c>
      <c r="H61" s="362"/>
      <c r="I61" s="404">
        <f>IF(I59=0,"",(I60/I59)*100)</f>
        <v>95.238095238095227</v>
      </c>
      <c r="J61" s="362"/>
      <c r="K61" s="404">
        <f>IF(K59=0,"",(K60/K59)*100)</f>
        <v>97.61904761904762</v>
      </c>
      <c r="L61" s="362"/>
      <c r="M61" s="404">
        <f>IF(M59=0,"",(M60/M59)*100)</f>
        <v>81.818181818181827</v>
      </c>
      <c r="N61" s="362"/>
      <c r="O61" s="404">
        <f>IF(O59=0,"",(O60/O59)*100)</f>
        <v>97.61904761904762</v>
      </c>
      <c r="P61" s="362"/>
      <c r="Q61" s="404">
        <f>IF(Q59=0,"",(Q60/Q59)*100)</f>
        <v>0</v>
      </c>
      <c r="R61" s="364"/>
      <c r="S61" s="362"/>
    </row>
    <row r="62" spans="1:19" ht="13.8">
      <c r="A62" s="381"/>
      <c r="B62" s="6" t="s">
        <v>77</v>
      </c>
      <c r="C62" s="403">
        <f>COUNTIFS(D8:D55,"&lt;=32",D8:D55,"&gt; 0")</f>
        <v>0</v>
      </c>
      <c r="D62" s="362"/>
      <c r="E62" s="403">
        <f>COUNTIFS(F8:F55,"&lt;=32",F8:F55,"&gt; 0")</f>
        <v>1</v>
      </c>
      <c r="F62" s="362"/>
      <c r="G62" s="403">
        <f>COUNTIFS(H8:H55,"&lt;=32",H8:H55,"&gt; 0")</f>
        <v>7</v>
      </c>
      <c r="H62" s="362"/>
      <c r="I62" s="403">
        <f>COUNTIFS(J8:J55,"&lt;=32",J8:J55,"&gt; 0")</f>
        <v>2</v>
      </c>
      <c r="J62" s="362"/>
      <c r="K62" s="403">
        <f>COUNTIFS(L8:L55,"&lt;=32",L8:L55,"&gt; 0")</f>
        <v>1</v>
      </c>
      <c r="L62" s="362"/>
      <c r="M62" s="403">
        <f>COUNTIFS(N8:N55,"&lt;=32",N8:N55,"&gt; 0")</f>
        <v>2</v>
      </c>
      <c r="N62" s="362"/>
      <c r="O62" s="403">
        <f>COUNTIFS(P8:P55,"&lt;=32",P8:P55,"&gt; 0")</f>
        <v>1</v>
      </c>
      <c r="P62" s="362"/>
      <c r="Q62" s="403">
        <f>COUNTIFS(R8:R55,"&lt;=32",R8:R55,"&gt; 0")</f>
        <v>2</v>
      </c>
      <c r="R62" s="364"/>
      <c r="S62" s="362"/>
    </row>
    <row r="63" spans="1:19" ht="13.8">
      <c r="A63" s="381"/>
      <c r="B63" s="6" t="s">
        <v>78</v>
      </c>
      <c r="C63" s="403">
        <f>COUNTIFS(D8:D55,"&gt;=32.1",D8:D55,"&lt;=44")</f>
        <v>2</v>
      </c>
      <c r="D63" s="362"/>
      <c r="E63" s="403">
        <f>COUNTIFS(F8:F55,"&gt;=32.1",F8:F55,"&lt;=44")</f>
        <v>8</v>
      </c>
      <c r="F63" s="362"/>
      <c r="G63" s="403">
        <f>COUNTIFS(H8:H55,"&gt;=32.1",H8:H55,"&lt;=44")</f>
        <v>7</v>
      </c>
      <c r="H63" s="362"/>
      <c r="I63" s="403">
        <f>COUNTIFS(J8:J55,"&gt;=32.1",J8:J55,"&lt;=44")</f>
        <v>4</v>
      </c>
      <c r="J63" s="362"/>
      <c r="K63" s="403">
        <f>COUNTIFS(L8:L55,"&gt;=32.1",L8:L55,"&lt;=44")</f>
        <v>2</v>
      </c>
      <c r="L63" s="362"/>
      <c r="M63" s="403">
        <f>COUNTIFS(N8:N55,"&gt;=32.1",N8:N55,"&lt;=44")</f>
        <v>1</v>
      </c>
      <c r="N63" s="362"/>
      <c r="O63" s="403">
        <f>COUNTIFS(P8:P55,"&gt;=32.1",P8:P55,"&lt;=44")</f>
        <v>6</v>
      </c>
      <c r="P63" s="362"/>
      <c r="Q63" s="403">
        <f>COUNTIFS(R8:R55,"&gt;=32.1",R8:R55,"&lt;=44")</f>
        <v>5</v>
      </c>
      <c r="R63" s="364"/>
      <c r="S63" s="362"/>
    </row>
    <row r="64" spans="1:19" ht="13.8">
      <c r="A64" s="381"/>
      <c r="B64" s="6" t="s">
        <v>79</v>
      </c>
      <c r="C64" s="403">
        <f>COUNTIFS(D8:D55,"&gt;=44.1",D8:D55,"&lt;=59")</f>
        <v>2</v>
      </c>
      <c r="D64" s="362"/>
      <c r="E64" s="403">
        <f>COUNTIFS(F8:F55,"&gt;=44.1",F8:F55,"&lt;=59")</f>
        <v>6</v>
      </c>
      <c r="F64" s="362"/>
      <c r="G64" s="403">
        <f>COUNTIFS(H8:H55,"&gt;=44.1",H8:H55,"&lt;=59")</f>
        <v>8</v>
      </c>
      <c r="H64" s="362"/>
      <c r="I64" s="403">
        <f>COUNTIFS(J8:J55,"&gt;=44.1",J8:J55,"&lt;=59")</f>
        <v>2</v>
      </c>
      <c r="J64" s="362"/>
      <c r="K64" s="403">
        <f>COUNTIFS(L8:L55,"&gt;=44.1",L8:L55,"&lt;=59")</f>
        <v>4</v>
      </c>
      <c r="L64" s="362"/>
      <c r="M64" s="403">
        <f>COUNTIFS(N8:N55,"&gt;=44.1",N8:N55,"&lt;=59")</f>
        <v>3</v>
      </c>
      <c r="N64" s="362"/>
      <c r="O64" s="403">
        <f>COUNTIFS(P8:P55,"&gt;=44.1",P8:P55,"&lt;=59")</f>
        <v>8</v>
      </c>
      <c r="P64" s="362"/>
      <c r="Q64" s="403">
        <f>COUNTIFS(R8:R55,"&gt;=44.1",R8:R55,"&lt;=59")</f>
        <v>6</v>
      </c>
      <c r="R64" s="364"/>
      <c r="S64" s="362"/>
    </row>
    <row r="65" spans="1:19" ht="13.8">
      <c r="A65" s="381"/>
      <c r="B65" s="6" t="s">
        <v>80</v>
      </c>
      <c r="C65" s="403">
        <f>COUNTIFS(D8:D55,"&gt;=59.1",D8:D55,"&lt;=74")</f>
        <v>15</v>
      </c>
      <c r="D65" s="362"/>
      <c r="E65" s="403">
        <f>COUNTIFS(F8:F55,"&gt;=59.1",F8:F55,"&lt;=74")</f>
        <v>8</v>
      </c>
      <c r="F65" s="362"/>
      <c r="G65" s="403">
        <f>COUNTIFS(H8:H55,"&gt;=59.1",H8:H55,"&lt;=74")</f>
        <v>13</v>
      </c>
      <c r="H65" s="362"/>
      <c r="I65" s="403">
        <f>COUNTIFS(J8:J55,"&gt;=59.1",J8:J55,"&lt;=74")</f>
        <v>7</v>
      </c>
      <c r="J65" s="362"/>
      <c r="K65" s="403">
        <f>COUNTIFS(L8:L55,"&gt;=59.1",L8:L55,"&lt;=74")</f>
        <v>5</v>
      </c>
      <c r="L65" s="362"/>
      <c r="M65" s="403">
        <f>COUNTIFS(N8:N55,"&gt;=59.1",N8:N55,"&lt;=74")</f>
        <v>3</v>
      </c>
      <c r="N65" s="362"/>
      <c r="O65" s="403">
        <f>COUNTIFS(P8:P55,"&gt;=59.1",P8:P55,"&lt;=74")</f>
        <v>13</v>
      </c>
      <c r="P65" s="362"/>
      <c r="Q65" s="403">
        <f>COUNTIFS(R8:R55,"&gt;=59.1",R8:R55,"&lt;=74")</f>
        <v>12</v>
      </c>
      <c r="R65" s="364"/>
      <c r="S65" s="362"/>
    </row>
    <row r="66" spans="1:19" ht="13.8">
      <c r="A66" s="381"/>
      <c r="B66" s="6" t="s">
        <v>81</v>
      </c>
      <c r="C66" s="403">
        <f>COUNTIFS(D8:D55,"&gt;=74.1",D8:D55,"&lt;89")</f>
        <v>11</v>
      </c>
      <c r="D66" s="362"/>
      <c r="E66" s="403">
        <f>COUNTIFS(F8:F55,"&gt;=74.1",F8:F55,"&lt;89")</f>
        <v>4</v>
      </c>
      <c r="F66" s="362"/>
      <c r="G66" s="403">
        <f>COUNTIFS(H8:H55,"&gt;=74.1",H8:H55,"&lt;89")</f>
        <v>4</v>
      </c>
      <c r="H66" s="362"/>
      <c r="I66" s="403">
        <f>COUNTIFS(J8:J55,"&gt;=74.1",J8:J55,"&lt;89")</f>
        <v>13</v>
      </c>
      <c r="J66" s="362"/>
      <c r="K66" s="403">
        <f>COUNTIFS(L8:L55,"&gt;=74.1",L8:L55,"&lt;89")</f>
        <v>16</v>
      </c>
      <c r="L66" s="362"/>
      <c r="M66" s="403">
        <f>COUNTIFS(N8:N55,"&gt;=74.1",N8:N55,"&lt;89")</f>
        <v>1</v>
      </c>
      <c r="N66" s="362"/>
      <c r="O66" s="403">
        <f>COUNTIFS(P8:P55,"&gt;=74.1",P8:P55,"&lt;89")</f>
        <v>7</v>
      </c>
      <c r="P66" s="362"/>
      <c r="Q66" s="403">
        <f>COUNTIFS(R8:R55,"&gt;=74.1",R8:R55,"&lt;89")</f>
        <v>12</v>
      </c>
      <c r="R66" s="364"/>
      <c r="S66" s="362"/>
    </row>
    <row r="67" spans="1:19" ht="13.8">
      <c r="A67" s="382"/>
      <c r="B67" s="205" t="s">
        <v>82</v>
      </c>
      <c r="C67" s="405">
        <f>COUNTIF(D8:D55,"&gt;=89.1")</f>
        <v>13</v>
      </c>
      <c r="D67" s="371"/>
      <c r="E67" s="405">
        <f>COUNTIF(F8:F55,"&gt;=89.1")</f>
        <v>4</v>
      </c>
      <c r="F67" s="371"/>
      <c r="G67" s="405">
        <f>COUNTIF(H8:H55,"&gt;=89.1")</f>
        <v>3</v>
      </c>
      <c r="H67" s="371"/>
      <c r="I67" s="405">
        <f>COUNTIF(J8:J55,"&gt;=89.1")</f>
        <v>14</v>
      </c>
      <c r="J67" s="371"/>
      <c r="K67" s="405">
        <f>COUNTIF(L8:L55,"&gt;=89.1")</f>
        <v>14</v>
      </c>
      <c r="L67" s="371"/>
      <c r="M67" s="405">
        <f>COUNTIF(N8:N55,"&gt;=89.1")</f>
        <v>1</v>
      </c>
      <c r="N67" s="371"/>
      <c r="O67" s="405">
        <f>COUNTIF(P8:P55,"&gt;=89.1")</f>
        <v>7</v>
      </c>
      <c r="P67" s="371"/>
      <c r="Q67" s="403">
        <f>COUNTIF(R8:R55,"&gt;=89.1")</f>
        <v>4</v>
      </c>
      <c r="R67" s="364"/>
      <c r="S67" s="362"/>
    </row>
    <row r="68" spans="1:19" ht="14.4">
      <c r="A68" s="367" t="s">
        <v>83</v>
      </c>
      <c r="B68" s="364"/>
      <c r="C68" s="372"/>
      <c r="D68" s="362"/>
      <c r="E68" s="372"/>
      <c r="F68" s="362"/>
      <c r="G68" s="372"/>
      <c r="H68" s="362"/>
      <c r="I68" s="372"/>
      <c r="J68" s="362"/>
      <c r="K68" s="372"/>
      <c r="L68" s="362"/>
      <c r="M68" s="372"/>
      <c r="N68" s="362"/>
      <c r="O68" s="372"/>
      <c r="P68" s="362"/>
      <c r="Q68" s="367" t="s">
        <v>84</v>
      </c>
      <c r="R68" s="364"/>
      <c r="S68" s="206">
        <f>IF(Q59=0,"",Q58/Q59*100)</f>
        <v>0</v>
      </c>
    </row>
    <row r="69" spans="1:19" ht="14.4">
      <c r="A69" s="407" t="s">
        <v>85</v>
      </c>
      <c r="B69" s="369"/>
      <c r="C69" s="390"/>
      <c r="D69" s="369"/>
      <c r="E69" s="369"/>
      <c r="F69" s="369"/>
      <c r="G69" s="369"/>
      <c r="H69" s="369"/>
      <c r="I69" s="369"/>
      <c r="J69" s="369"/>
      <c r="K69" s="369"/>
      <c r="L69" s="369"/>
      <c r="M69" s="406" t="s">
        <v>86</v>
      </c>
      <c r="N69" s="369"/>
      <c r="O69" s="369"/>
      <c r="P69" s="369"/>
      <c r="Q69" s="369"/>
      <c r="R69" s="369"/>
      <c r="S69" s="369"/>
    </row>
  </sheetData>
  <mergeCells count="122">
    <mergeCell ref="G65:H65"/>
    <mergeCell ref="I65:J65"/>
    <mergeCell ref="K65:L65"/>
    <mergeCell ref="C66:D66"/>
    <mergeCell ref="E66:F66"/>
    <mergeCell ref="G66:H66"/>
    <mergeCell ref="I66:J66"/>
    <mergeCell ref="A56:B56"/>
    <mergeCell ref="A57:A67"/>
    <mergeCell ref="E57:F57"/>
    <mergeCell ref="G57:H57"/>
    <mergeCell ref="K58:L58"/>
    <mergeCell ref="K60:L60"/>
    <mergeCell ref="C61:D61"/>
    <mergeCell ref="E61:F61"/>
    <mergeCell ref="G61:H61"/>
    <mergeCell ref="I61:J61"/>
    <mergeCell ref="K61:L61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I67:J67"/>
    <mergeCell ref="K67:L67"/>
    <mergeCell ref="A68:B68"/>
    <mergeCell ref="C68:D68"/>
    <mergeCell ref="E68:F68"/>
    <mergeCell ref="G68:H68"/>
    <mergeCell ref="I68:J68"/>
    <mergeCell ref="K68:L68"/>
    <mergeCell ref="A69:B69"/>
    <mergeCell ref="C69:L69"/>
    <mergeCell ref="M69:S69"/>
    <mergeCell ref="C57:D57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C62:D62"/>
    <mergeCell ref="E62:F62"/>
    <mergeCell ref="G62:H62"/>
    <mergeCell ref="I62:J62"/>
    <mergeCell ref="M62:N62"/>
    <mergeCell ref="O62:P62"/>
    <mergeCell ref="Q62:S62"/>
    <mergeCell ref="O63:P63"/>
    <mergeCell ref="Q63:S63"/>
    <mergeCell ref="K66:L66"/>
    <mergeCell ref="C67:D67"/>
    <mergeCell ref="E67:F67"/>
    <mergeCell ref="G67:H67"/>
    <mergeCell ref="M63:N63"/>
    <mergeCell ref="M64:N64"/>
    <mergeCell ref="O64:P64"/>
    <mergeCell ref="Q64:S64"/>
    <mergeCell ref="M65:N65"/>
    <mergeCell ref="O65:P65"/>
    <mergeCell ref="Q65:S65"/>
    <mergeCell ref="O68:P68"/>
    <mergeCell ref="Q68:R68"/>
    <mergeCell ref="M66:N66"/>
    <mergeCell ref="O66:P66"/>
    <mergeCell ref="Q66:S66"/>
    <mergeCell ref="M67:N67"/>
    <mergeCell ref="O67:P67"/>
    <mergeCell ref="Q67:S67"/>
    <mergeCell ref="M68:N68"/>
    <mergeCell ref="M61:N61"/>
    <mergeCell ref="O61:P61"/>
    <mergeCell ref="Q61:S61"/>
    <mergeCell ref="G58:H58"/>
    <mergeCell ref="I58:J58"/>
    <mergeCell ref="M58:N58"/>
    <mergeCell ref="O58:P58"/>
    <mergeCell ref="Q58:S58"/>
    <mergeCell ref="O59:P59"/>
    <mergeCell ref="Q59:S59"/>
    <mergeCell ref="I57:J57"/>
    <mergeCell ref="K57:L57"/>
    <mergeCell ref="M57:N57"/>
    <mergeCell ref="O57:P57"/>
    <mergeCell ref="Q57:S57"/>
    <mergeCell ref="C58:D58"/>
    <mergeCell ref="E58:F58"/>
    <mergeCell ref="M59:N59"/>
    <mergeCell ref="M60:N60"/>
    <mergeCell ref="O60:P60"/>
    <mergeCell ref="Q60:S60"/>
    <mergeCell ref="A1:S1"/>
    <mergeCell ref="A2:D2"/>
    <mergeCell ref="E2:J2"/>
    <mergeCell ref="K2:S2"/>
    <mergeCell ref="A3:B3"/>
    <mergeCell ref="C3:D3"/>
    <mergeCell ref="E3:J3"/>
    <mergeCell ref="M5:N5"/>
    <mergeCell ref="O5:P5"/>
    <mergeCell ref="Q5:R5"/>
    <mergeCell ref="S5:S7"/>
    <mergeCell ref="K3:S3"/>
    <mergeCell ref="A4:S4"/>
    <mergeCell ref="A5:A7"/>
    <mergeCell ref="B5:B7"/>
    <mergeCell ref="C5:D5"/>
    <mergeCell ref="E5:F5"/>
    <mergeCell ref="G5:H5"/>
    <mergeCell ref="I5:J5"/>
    <mergeCell ref="K5:L5"/>
  </mergeCells>
  <conditionalFormatting sqref="D8:D31 D33:D51">
    <cfRule type="cellIs" dxfId="2" priority="1" operator="lessThanOrEqual">
      <formula>32</formula>
    </cfRule>
  </conditionalFormatting>
  <conditionalFormatting sqref="F8:F31 J8:J34 F33:F34 J36:J51 F36:F54">
    <cfRule type="cellIs" dxfId="1" priority="2" operator="lessThanOrEqual">
      <formula>32</formula>
    </cfRule>
  </conditionalFormatting>
  <conditionalFormatting sqref="H8:H31 H33:H34 H36:H51">
    <cfRule type="cellIs" dxfId="0" priority="3" operator="lessThanOrEqual">
      <formula>32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S71"/>
  <sheetViews>
    <sheetView workbookViewId="0"/>
  </sheetViews>
  <sheetFormatPr defaultColWidth="12.6640625" defaultRowHeight="15.75" customHeight="1"/>
  <cols>
    <col min="2" max="2" width="24.21875" customWidth="1"/>
  </cols>
  <sheetData>
    <row r="1" spans="1:19" ht="15.75" customHeight="1">
      <c r="A1" s="392" t="s">
        <v>87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</row>
    <row r="2" spans="1:19" ht="15.75" customHeight="1">
      <c r="A2" s="392" t="s">
        <v>0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</row>
    <row r="3" spans="1:19" ht="15.75" customHeight="1">
      <c r="A3" s="373" t="s">
        <v>0</v>
      </c>
      <c r="B3" s="366"/>
      <c r="C3" s="366"/>
      <c r="D3" s="366"/>
      <c r="E3" s="374" t="s">
        <v>1</v>
      </c>
      <c r="F3" s="366"/>
      <c r="G3" s="366"/>
      <c r="H3" s="366"/>
      <c r="I3" s="366"/>
      <c r="J3" s="366"/>
      <c r="K3" s="375" t="s">
        <v>2</v>
      </c>
      <c r="L3" s="366"/>
      <c r="M3" s="366"/>
      <c r="N3" s="366"/>
      <c r="O3" s="366"/>
      <c r="P3" s="366"/>
      <c r="Q3" s="366"/>
      <c r="R3" s="366"/>
      <c r="S3" s="366"/>
    </row>
    <row r="4" spans="1:19" ht="15.75" customHeight="1">
      <c r="A4" s="383" t="s">
        <v>141</v>
      </c>
      <c r="B4" s="366"/>
      <c r="C4" s="374" t="s">
        <v>569</v>
      </c>
      <c r="D4" s="366"/>
      <c r="E4" s="374" t="s">
        <v>4</v>
      </c>
      <c r="F4" s="366"/>
      <c r="G4" s="366"/>
      <c r="H4" s="366"/>
      <c r="I4" s="366"/>
      <c r="J4" s="366"/>
      <c r="K4" s="374" t="s">
        <v>5</v>
      </c>
      <c r="L4" s="366"/>
      <c r="M4" s="366"/>
      <c r="N4" s="366"/>
      <c r="O4" s="366"/>
      <c r="P4" s="366"/>
      <c r="Q4" s="366"/>
      <c r="R4" s="366"/>
      <c r="S4" s="366"/>
    </row>
    <row r="5" spans="1:19" ht="15.75" customHeight="1">
      <c r="A5" s="377" t="s">
        <v>570</v>
      </c>
      <c r="B5" s="378"/>
      <c r="C5" s="378"/>
      <c r="D5" s="378"/>
      <c r="E5" s="378"/>
      <c r="F5" s="378"/>
      <c r="G5" s="378"/>
      <c r="H5" s="378"/>
      <c r="I5" s="378"/>
      <c r="J5" s="378"/>
      <c r="K5" s="378"/>
      <c r="L5" s="378"/>
      <c r="M5" s="378"/>
      <c r="N5" s="378"/>
      <c r="O5" s="378"/>
      <c r="P5" s="378"/>
      <c r="Q5" s="378"/>
      <c r="R5" s="378"/>
      <c r="S5" s="378"/>
    </row>
    <row r="6" spans="1:19">
      <c r="A6" s="384" t="s">
        <v>7</v>
      </c>
      <c r="B6" s="385" t="s">
        <v>8</v>
      </c>
      <c r="C6" s="379" t="s">
        <v>9</v>
      </c>
      <c r="D6" s="360"/>
      <c r="E6" s="379" t="s">
        <v>10</v>
      </c>
      <c r="F6" s="360"/>
      <c r="G6" s="379" t="s">
        <v>11</v>
      </c>
      <c r="H6" s="360"/>
      <c r="I6" s="379" t="s">
        <v>12</v>
      </c>
      <c r="J6" s="360"/>
      <c r="K6" s="379" t="s">
        <v>13</v>
      </c>
      <c r="L6" s="360"/>
      <c r="M6" s="379" t="s">
        <v>14</v>
      </c>
      <c r="N6" s="360"/>
      <c r="O6" s="379" t="s">
        <v>473</v>
      </c>
      <c r="P6" s="360"/>
      <c r="Q6" s="367" t="s">
        <v>15</v>
      </c>
      <c r="R6" s="362"/>
      <c r="S6" s="380" t="s">
        <v>16</v>
      </c>
    </row>
    <row r="7" spans="1:19">
      <c r="A7" s="381"/>
      <c r="B7" s="381"/>
      <c r="C7" s="4" t="s">
        <v>17</v>
      </c>
      <c r="D7" s="5">
        <v>40</v>
      </c>
      <c r="E7" s="4" t="s">
        <v>17</v>
      </c>
      <c r="F7" s="5">
        <v>40</v>
      </c>
      <c r="G7" s="4" t="s">
        <v>17</v>
      </c>
      <c r="H7" s="5">
        <v>40</v>
      </c>
      <c r="I7" s="4" t="s">
        <v>17</v>
      </c>
      <c r="J7" s="5">
        <v>40</v>
      </c>
      <c r="K7" s="4" t="s">
        <v>17</v>
      </c>
      <c r="L7" s="5">
        <v>40</v>
      </c>
      <c r="M7" s="4" t="s">
        <v>17</v>
      </c>
      <c r="N7" s="5">
        <v>40</v>
      </c>
      <c r="O7" s="4" t="s">
        <v>17</v>
      </c>
      <c r="P7" s="5">
        <v>40</v>
      </c>
      <c r="Q7" s="4" t="s">
        <v>17</v>
      </c>
      <c r="R7" s="5">
        <v>600</v>
      </c>
      <c r="S7" s="381"/>
    </row>
    <row r="8" spans="1:19">
      <c r="A8" s="382"/>
      <c r="B8" s="382"/>
      <c r="C8" s="6" t="s">
        <v>18</v>
      </c>
      <c r="D8" s="6" t="s">
        <v>19</v>
      </c>
      <c r="E8" s="6" t="s">
        <v>18</v>
      </c>
      <c r="F8" s="6" t="s">
        <v>19</v>
      </c>
      <c r="G8" s="6" t="s">
        <v>18</v>
      </c>
      <c r="H8" s="6" t="s">
        <v>19</v>
      </c>
      <c r="I8" s="6" t="s">
        <v>18</v>
      </c>
      <c r="J8" s="6" t="s">
        <v>19</v>
      </c>
      <c r="K8" s="6" t="s">
        <v>18</v>
      </c>
      <c r="L8" s="6" t="s">
        <v>19</v>
      </c>
      <c r="M8" s="6" t="s">
        <v>18</v>
      </c>
      <c r="N8" s="6" t="s">
        <v>19</v>
      </c>
      <c r="O8" s="6" t="s">
        <v>18</v>
      </c>
      <c r="P8" s="6" t="s">
        <v>19</v>
      </c>
      <c r="Q8" s="6" t="s">
        <v>18</v>
      </c>
      <c r="R8" s="6" t="s">
        <v>19</v>
      </c>
      <c r="S8" s="382"/>
    </row>
    <row r="9" spans="1:19" ht="15.75" customHeight="1">
      <c r="A9" s="86">
        <v>1</v>
      </c>
      <c r="B9" s="150" t="s">
        <v>571</v>
      </c>
      <c r="C9" s="207">
        <v>25</v>
      </c>
      <c r="D9" s="12">
        <f t="shared" ref="D9:D19" si="0">IF(C9="","",IF(C9="AB",AB,IF(C9="TC","TC",(C9/D$7)*100)))</f>
        <v>62.5</v>
      </c>
      <c r="E9" s="207">
        <v>9</v>
      </c>
      <c r="F9" s="12">
        <f t="shared" ref="F9:F51" si="1">IF(E9="","",IF(E9="AB",AB,IF(E9="TC","TC",(E9/F$7)*100)))</f>
        <v>22.5</v>
      </c>
      <c r="G9" s="207">
        <v>8</v>
      </c>
      <c r="H9" s="12">
        <f t="shared" ref="H9:H50" si="2">IF(G9="","",IF(G9="AB",AB,IF(G9="TC","TC",(G9/H$7)*100)))</f>
        <v>20</v>
      </c>
      <c r="I9" s="207">
        <v>15</v>
      </c>
      <c r="J9" s="12">
        <f t="shared" ref="J9:J51" si="3">IF(I9="","",IF(I9="AB",AB,IF(I9="TC","TC",(I9/J$7)*100)))</f>
        <v>37.5</v>
      </c>
      <c r="K9" s="208">
        <v>22</v>
      </c>
      <c r="L9" s="12">
        <f t="shared" ref="L9:L51" si="4">IF(K9="","",IF(K9="AB",AB,IF(K9="TC","TC",(K9/L$7)*100)))</f>
        <v>55.000000000000007</v>
      </c>
      <c r="M9" s="187"/>
      <c r="N9" s="37" t="str">
        <f t="shared" ref="N9:N50" si="5">IF(M9="","",IF(M9="AB",AB,IF(M9="TC","TC",(M9/N$7)*100)))</f>
        <v/>
      </c>
      <c r="O9" s="209">
        <v>19</v>
      </c>
      <c r="P9" s="12">
        <f t="shared" ref="P9:P51" si="6">IF(O9="","",IF(O9="AB",AB,IF(O9="TC","TC",(O9/P$7)*100)))</f>
        <v>47.5</v>
      </c>
      <c r="Q9" s="12">
        <f t="shared" ref="Q9:Q50" si="7">SUM(D9,F9,H9,J9,L9,N9,P9)</f>
        <v>245</v>
      </c>
      <c r="R9" s="17">
        <f t="shared" ref="R9:R50" si="8">IF(Q9="","",IF(Q9="AB","AB",(Q9/R$7)*100))</f>
        <v>40.833333333333336</v>
      </c>
      <c r="S9" s="22"/>
    </row>
    <row r="10" spans="1:19" ht="15.75" customHeight="1">
      <c r="A10" s="86">
        <v>2</v>
      </c>
      <c r="B10" s="210" t="s">
        <v>572</v>
      </c>
      <c r="C10" s="211">
        <v>25</v>
      </c>
      <c r="D10" s="12">
        <f t="shared" si="0"/>
        <v>62.5</v>
      </c>
      <c r="E10" s="211">
        <v>17</v>
      </c>
      <c r="F10" s="70">
        <f t="shared" si="1"/>
        <v>42.5</v>
      </c>
      <c r="G10" s="211">
        <v>4</v>
      </c>
      <c r="H10" s="70">
        <f t="shared" si="2"/>
        <v>10</v>
      </c>
      <c r="I10" s="211">
        <v>13</v>
      </c>
      <c r="J10" s="70">
        <f t="shared" si="3"/>
        <v>32.5</v>
      </c>
      <c r="K10" s="212">
        <v>17</v>
      </c>
      <c r="L10" s="12">
        <f t="shared" si="4"/>
        <v>42.5</v>
      </c>
      <c r="M10" s="187"/>
      <c r="N10" s="37" t="str">
        <f t="shared" si="5"/>
        <v/>
      </c>
      <c r="O10" s="209">
        <v>19</v>
      </c>
      <c r="P10" s="12">
        <f t="shared" si="6"/>
        <v>47.5</v>
      </c>
      <c r="Q10" s="12">
        <f t="shared" si="7"/>
        <v>237.5</v>
      </c>
      <c r="R10" s="17">
        <f t="shared" si="8"/>
        <v>39.583333333333329</v>
      </c>
      <c r="S10" s="22"/>
    </row>
    <row r="11" spans="1:19" ht="15.75" customHeight="1">
      <c r="A11" s="86">
        <v>3</v>
      </c>
      <c r="B11" s="210" t="s">
        <v>573</v>
      </c>
      <c r="C11" s="211">
        <v>33</v>
      </c>
      <c r="D11" s="12">
        <f t="shared" si="0"/>
        <v>82.5</v>
      </c>
      <c r="E11" s="211">
        <v>33</v>
      </c>
      <c r="F11" s="12">
        <f t="shared" si="1"/>
        <v>82.5</v>
      </c>
      <c r="G11" s="211">
        <v>29</v>
      </c>
      <c r="H11" s="12">
        <f t="shared" si="2"/>
        <v>72.5</v>
      </c>
      <c r="I11" s="211">
        <v>37</v>
      </c>
      <c r="J11" s="12">
        <f t="shared" si="3"/>
        <v>92.5</v>
      </c>
      <c r="K11" s="212">
        <v>36</v>
      </c>
      <c r="L11" s="12">
        <f t="shared" si="4"/>
        <v>90</v>
      </c>
      <c r="M11" s="187"/>
      <c r="N11" s="37" t="str">
        <f t="shared" si="5"/>
        <v/>
      </c>
      <c r="O11" s="209">
        <v>23</v>
      </c>
      <c r="P11" s="12">
        <f t="shared" si="6"/>
        <v>57.499999999999993</v>
      </c>
      <c r="Q11" s="12">
        <f t="shared" si="7"/>
        <v>477.5</v>
      </c>
      <c r="R11" s="17">
        <f t="shared" si="8"/>
        <v>79.583333333333329</v>
      </c>
      <c r="S11" s="22"/>
    </row>
    <row r="12" spans="1:19" ht="15.75" customHeight="1">
      <c r="A12" s="86">
        <v>4</v>
      </c>
      <c r="B12" s="210" t="s">
        <v>574</v>
      </c>
      <c r="C12" s="211">
        <v>33</v>
      </c>
      <c r="D12" s="12">
        <f t="shared" si="0"/>
        <v>82.5</v>
      </c>
      <c r="E12" s="211">
        <v>28</v>
      </c>
      <c r="F12" s="12">
        <f t="shared" si="1"/>
        <v>70</v>
      </c>
      <c r="G12" s="211">
        <v>26</v>
      </c>
      <c r="H12" s="12">
        <f t="shared" si="2"/>
        <v>65</v>
      </c>
      <c r="I12" s="211">
        <v>35</v>
      </c>
      <c r="J12" s="12">
        <f t="shared" si="3"/>
        <v>87.5</v>
      </c>
      <c r="K12" s="212">
        <v>39</v>
      </c>
      <c r="L12" s="12">
        <f t="shared" si="4"/>
        <v>97.5</v>
      </c>
      <c r="M12" s="187"/>
      <c r="N12" s="37" t="str">
        <f t="shared" si="5"/>
        <v/>
      </c>
      <c r="O12" s="209">
        <v>31</v>
      </c>
      <c r="P12" s="12">
        <f t="shared" si="6"/>
        <v>77.5</v>
      </c>
      <c r="Q12" s="12">
        <f t="shared" si="7"/>
        <v>480</v>
      </c>
      <c r="R12" s="17">
        <f t="shared" si="8"/>
        <v>80</v>
      </c>
      <c r="S12" s="22"/>
    </row>
    <row r="13" spans="1:19" ht="15.75" customHeight="1">
      <c r="A13" s="86">
        <v>5</v>
      </c>
      <c r="B13" s="210" t="s">
        <v>575</v>
      </c>
      <c r="C13" s="211">
        <v>33</v>
      </c>
      <c r="D13" s="12">
        <f t="shared" si="0"/>
        <v>82.5</v>
      </c>
      <c r="E13" s="211">
        <v>21</v>
      </c>
      <c r="F13" s="12">
        <f t="shared" si="1"/>
        <v>52.5</v>
      </c>
      <c r="G13" s="211">
        <v>31</v>
      </c>
      <c r="H13" s="12">
        <f t="shared" si="2"/>
        <v>77.5</v>
      </c>
      <c r="I13" s="211">
        <v>34</v>
      </c>
      <c r="J13" s="12">
        <f t="shared" si="3"/>
        <v>85</v>
      </c>
      <c r="K13" s="212">
        <v>37</v>
      </c>
      <c r="L13" s="12">
        <f t="shared" si="4"/>
        <v>92.5</v>
      </c>
      <c r="M13" s="187"/>
      <c r="N13" s="37" t="str">
        <f t="shared" si="5"/>
        <v/>
      </c>
      <c r="O13" s="209">
        <v>32</v>
      </c>
      <c r="P13" s="12">
        <f t="shared" si="6"/>
        <v>80</v>
      </c>
      <c r="Q13" s="12">
        <f t="shared" si="7"/>
        <v>470</v>
      </c>
      <c r="R13" s="17">
        <f t="shared" si="8"/>
        <v>78.333333333333329</v>
      </c>
      <c r="S13" s="22"/>
    </row>
    <row r="14" spans="1:19" ht="15.75" customHeight="1">
      <c r="A14" s="86">
        <v>6</v>
      </c>
      <c r="B14" s="210" t="s">
        <v>576</v>
      </c>
      <c r="C14" s="213">
        <v>32</v>
      </c>
      <c r="D14" s="37">
        <f t="shared" si="0"/>
        <v>80</v>
      </c>
      <c r="E14" s="211">
        <v>36</v>
      </c>
      <c r="F14" s="12">
        <f t="shared" si="1"/>
        <v>90</v>
      </c>
      <c r="G14" s="211">
        <v>30</v>
      </c>
      <c r="H14" s="12">
        <f t="shared" si="2"/>
        <v>75</v>
      </c>
      <c r="I14" s="211">
        <v>40</v>
      </c>
      <c r="J14" s="12">
        <f t="shared" si="3"/>
        <v>100</v>
      </c>
      <c r="K14" s="212">
        <v>38</v>
      </c>
      <c r="L14" s="12">
        <f t="shared" si="4"/>
        <v>95</v>
      </c>
      <c r="M14" s="187"/>
      <c r="N14" s="37" t="str">
        <f t="shared" si="5"/>
        <v/>
      </c>
      <c r="O14" s="209">
        <v>34</v>
      </c>
      <c r="P14" s="12">
        <f t="shared" si="6"/>
        <v>85</v>
      </c>
      <c r="Q14" s="12">
        <f t="shared" si="7"/>
        <v>525</v>
      </c>
      <c r="R14" s="17">
        <f t="shared" si="8"/>
        <v>87.5</v>
      </c>
      <c r="S14" s="22"/>
    </row>
    <row r="15" spans="1:19" ht="15.75" customHeight="1">
      <c r="A15" s="86">
        <v>7</v>
      </c>
      <c r="B15" s="210" t="s">
        <v>577</v>
      </c>
      <c r="C15" s="211">
        <v>33</v>
      </c>
      <c r="D15" s="12">
        <f t="shared" si="0"/>
        <v>82.5</v>
      </c>
      <c r="E15" s="211">
        <v>26</v>
      </c>
      <c r="F15" s="12">
        <f t="shared" si="1"/>
        <v>65</v>
      </c>
      <c r="G15" s="211">
        <v>14</v>
      </c>
      <c r="H15" s="12">
        <f t="shared" si="2"/>
        <v>35</v>
      </c>
      <c r="I15" s="211">
        <v>31</v>
      </c>
      <c r="J15" s="12">
        <f t="shared" si="3"/>
        <v>77.5</v>
      </c>
      <c r="K15" s="214">
        <v>34</v>
      </c>
      <c r="L15" s="12">
        <f t="shared" si="4"/>
        <v>85</v>
      </c>
      <c r="M15" s="187"/>
      <c r="N15" s="37" t="str">
        <f t="shared" si="5"/>
        <v/>
      </c>
      <c r="O15" s="209" t="s">
        <v>123</v>
      </c>
      <c r="P15" s="12" t="e">
        <f t="shared" si="6"/>
        <v>#NAME?</v>
      </c>
      <c r="Q15" s="12" t="e">
        <f t="shared" si="7"/>
        <v>#NAME?</v>
      </c>
      <c r="R15" s="17" t="e">
        <f t="shared" si="8"/>
        <v>#NAME?</v>
      </c>
      <c r="S15" s="22"/>
    </row>
    <row r="16" spans="1:19" ht="15.75" customHeight="1">
      <c r="A16" s="86">
        <v>8</v>
      </c>
      <c r="B16" s="210" t="s">
        <v>578</v>
      </c>
      <c r="C16" s="211">
        <v>36</v>
      </c>
      <c r="D16" s="12">
        <f t="shared" si="0"/>
        <v>90</v>
      </c>
      <c r="E16" s="211">
        <v>40</v>
      </c>
      <c r="F16" s="12">
        <f t="shared" si="1"/>
        <v>100</v>
      </c>
      <c r="G16" s="211">
        <v>20</v>
      </c>
      <c r="H16" s="12">
        <f t="shared" si="2"/>
        <v>50</v>
      </c>
      <c r="I16" s="211">
        <v>39</v>
      </c>
      <c r="J16" s="12">
        <f t="shared" si="3"/>
        <v>97.5</v>
      </c>
      <c r="K16" s="214">
        <v>40</v>
      </c>
      <c r="L16" s="12">
        <f t="shared" si="4"/>
        <v>100</v>
      </c>
      <c r="M16" s="187"/>
      <c r="N16" s="37" t="str">
        <f t="shared" si="5"/>
        <v/>
      </c>
      <c r="O16" s="209">
        <v>36</v>
      </c>
      <c r="P16" s="12">
        <f t="shared" si="6"/>
        <v>90</v>
      </c>
      <c r="Q16" s="12">
        <f t="shared" si="7"/>
        <v>527.5</v>
      </c>
      <c r="R16" s="17">
        <f t="shared" si="8"/>
        <v>87.916666666666671</v>
      </c>
      <c r="S16" s="22"/>
    </row>
    <row r="17" spans="1:19" ht="15.75" customHeight="1">
      <c r="A17" s="86">
        <v>9</v>
      </c>
      <c r="B17" s="210" t="s">
        <v>579</v>
      </c>
      <c r="C17" s="211">
        <v>26</v>
      </c>
      <c r="D17" s="12">
        <f t="shared" si="0"/>
        <v>65</v>
      </c>
      <c r="E17" s="211">
        <v>26</v>
      </c>
      <c r="F17" s="70">
        <f t="shared" si="1"/>
        <v>65</v>
      </c>
      <c r="G17" s="211">
        <v>22</v>
      </c>
      <c r="H17" s="12">
        <f t="shared" si="2"/>
        <v>55.000000000000007</v>
      </c>
      <c r="I17" s="211">
        <v>31</v>
      </c>
      <c r="J17" s="12">
        <f t="shared" si="3"/>
        <v>77.5</v>
      </c>
      <c r="K17" s="212">
        <v>30</v>
      </c>
      <c r="L17" s="12">
        <f t="shared" si="4"/>
        <v>75</v>
      </c>
      <c r="M17" s="187"/>
      <c r="N17" s="37" t="str">
        <f t="shared" si="5"/>
        <v/>
      </c>
      <c r="O17" s="209">
        <v>26</v>
      </c>
      <c r="P17" s="12">
        <f t="shared" si="6"/>
        <v>65</v>
      </c>
      <c r="Q17" s="12">
        <f t="shared" si="7"/>
        <v>402.5</v>
      </c>
      <c r="R17" s="17">
        <f t="shared" si="8"/>
        <v>67.083333333333329</v>
      </c>
      <c r="S17" s="22"/>
    </row>
    <row r="18" spans="1:19" ht="15.75" customHeight="1">
      <c r="A18" s="86">
        <v>10</v>
      </c>
      <c r="B18" s="210" t="s">
        <v>580</v>
      </c>
      <c r="C18" s="211">
        <v>31</v>
      </c>
      <c r="D18" s="12">
        <f t="shared" si="0"/>
        <v>77.5</v>
      </c>
      <c r="E18" s="211">
        <v>25</v>
      </c>
      <c r="F18" s="12">
        <f t="shared" si="1"/>
        <v>62.5</v>
      </c>
      <c r="G18" s="211">
        <v>25</v>
      </c>
      <c r="H18" s="12">
        <f t="shared" si="2"/>
        <v>62.5</v>
      </c>
      <c r="I18" s="211">
        <v>35</v>
      </c>
      <c r="J18" s="12">
        <f t="shared" si="3"/>
        <v>87.5</v>
      </c>
      <c r="K18" s="212">
        <v>36</v>
      </c>
      <c r="L18" s="12">
        <f t="shared" si="4"/>
        <v>90</v>
      </c>
      <c r="M18" s="187"/>
      <c r="N18" s="37" t="str">
        <f t="shared" si="5"/>
        <v/>
      </c>
      <c r="O18" s="209">
        <v>29</v>
      </c>
      <c r="P18" s="12">
        <f t="shared" si="6"/>
        <v>72.5</v>
      </c>
      <c r="Q18" s="12">
        <f t="shared" si="7"/>
        <v>452.5</v>
      </c>
      <c r="R18" s="17">
        <f t="shared" si="8"/>
        <v>75.416666666666671</v>
      </c>
      <c r="S18" s="22"/>
    </row>
    <row r="19" spans="1:19" ht="15.75" customHeight="1">
      <c r="A19" s="86">
        <v>11</v>
      </c>
      <c r="B19" s="210" t="s">
        <v>581</v>
      </c>
      <c r="C19" s="211">
        <v>35</v>
      </c>
      <c r="D19" s="12">
        <f t="shared" si="0"/>
        <v>87.5</v>
      </c>
      <c r="E19" s="211">
        <v>36</v>
      </c>
      <c r="F19" s="12">
        <f t="shared" si="1"/>
        <v>90</v>
      </c>
      <c r="G19" s="211">
        <v>14</v>
      </c>
      <c r="H19" s="12">
        <f t="shared" si="2"/>
        <v>35</v>
      </c>
      <c r="I19" s="211">
        <v>31</v>
      </c>
      <c r="J19" s="12">
        <f t="shared" si="3"/>
        <v>77.5</v>
      </c>
      <c r="K19" s="212">
        <v>37</v>
      </c>
      <c r="L19" s="12">
        <f t="shared" si="4"/>
        <v>92.5</v>
      </c>
      <c r="M19" s="187"/>
      <c r="N19" s="37" t="str">
        <f t="shared" si="5"/>
        <v/>
      </c>
      <c r="O19" s="209">
        <v>27</v>
      </c>
      <c r="P19" s="12">
        <f t="shared" si="6"/>
        <v>67.5</v>
      </c>
      <c r="Q19" s="12">
        <f t="shared" si="7"/>
        <v>450</v>
      </c>
      <c r="R19" s="17">
        <f t="shared" si="8"/>
        <v>75</v>
      </c>
      <c r="S19" s="22"/>
    </row>
    <row r="20" spans="1:19" ht="15.75" customHeight="1">
      <c r="A20" s="86">
        <v>12</v>
      </c>
      <c r="B20" s="210" t="s">
        <v>582</v>
      </c>
      <c r="C20" s="211">
        <v>35</v>
      </c>
      <c r="D20" s="12" t="s">
        <v>123</v>
      </c>
      <c r="E20" s="211">
        <v>35</v>
      </c>
      <c r="F20" s="12">
        <f t="shared" si="1"/>
        <v>87.5</v>
      </c>
      <c r="G20" s="211">
        <v>21</v>
      </c>
      <c r="H20" s="12">
        <f t="shared" si="2"/>
        <v>52.5</v>
      </c>
      <c r="I20" s="211">
        <v>34</v>
      </c>
      <c r="J20" s="12">
        <f t="shared" si="3"/>
        <v>85</v>
      </c>
      <c r="K20" s="212">
        <v>32</v>
      </c>
      <c r="L20" s="12">
        <f t="shared" si="4"/>
        <v>80</v>
      </c>
      <c r="M20" s="187"/>
      <c r="N20" s="37" t="str">
        <f t="shared" si="5"/>
        <v/>
      </c>
      <c r="O20" s="209">
        <v>30</v>
      </c>
      <c r="P20" s="12">
        <f t="shared" si="6"/>
        <v>75</v>
      </c>
      <c r="Q20" s="12">
        <f t="shared" si="7"/>
        <v>380</v>
      </c>
      <c r="R20" s="17">
        <f t="shared" si="8"/>
        <v>63.333333333333329</v>
      </c>
      <c r="S20" s="22"/>
    </row>
    <row r="21" spans="1:19" ht="15.75" customHeight="1">
      <c r="A21" s="86">
        <v>13</v>
      </c>
      <c r="B21" s="210" t="s">
        <v>583</v>
      </c>
      <c r="C21" s="213">
        <v>29</v>
      </c>
      <c r="D21" s="37">
        <f t="shared" ref="D21:D52" si="9">IF(C21="","",IF(C21="AB",AB,IF(C21="TC","TC",(C21/D$7)*100)))</f>
        <v>72.5</v>
      </c>
      <c r="E21" s="211">
        <v>30</v>
      </c>
      <c r="F21" s="12">
        <f t="shared" si="1"/>
        <v>75</v>
      </c>
      <c r="G21" s="211">
        <v>14</v>
      </c>
      <c r="H21" s="12">
        <f t="shared" si="2"/>
        <v>35</v>
      </c>
      <c r="I21" s="211">
        <v>24</v>
      </c>
      <c r="J21" s="12">
        <f t="shared" si="3"/>
        <v>60</v>
      </c>
      <c r="K21" s="212">
        <v>29</v>
      </c>
      <c r="L21" s="12">
        <f t="shared" si="4"/>
        <v>72.5</v>
      </c>
      <c r="M21" s="187"/>
      <c r="N21" s="37" t="str">
        <f t="shared" si="5"/>
        <v/>
      </c>
      <c r="O21" s="209">
        <v>20</v>
      </c>
      <c r="P21" s="12">
        <f t="shared" si="6"/>
        <v>50</v>
      </c>
      <c r="Q21" s="12">
        <f t="shared" si="7"/>
        <v>365</v>
      </c>
      <c r="R21" s="17">
        <f t="shared" si="8"/>
        <v>60.833333333333329</v>
      </c>
      <c r="S21" s="22"/>
    </row>
    <row r="22" spans="1:19" ht="15.75" customHeight="1">
      <c r="A22" s="86">
        <v>14</v>
      </c>
      <c r="B22" s="210" t="s">
        <v>584</v>
      </c>
      <c r="C22" s="215">
        <v>28</v>
      </c>
      <c r="D22" s="12">
        <f t="shared" si="9"/>
        <v>70</v>
      </c>
      <c r="E22" s="211">
        <v>30</v>
      </c>
      <c r="F22" s="12">
        <f t="shared" si="1"/>
        <v>75</v>
      </c>
      <c r="G22" s="211">
        <v>28</v>
      </c>
      <c r="H22" s="12">
        <f t="shared" si="2"/>
        <v>70</v>
      </c>
      <c r="I22" s="215">
        <v>39</v>
      </c>
      <c r="J22" s="12">
        <f t="shared" si="3"/>
        <v>97.5</v>
      </c>
      <c r="K22" s="212">
        <v>34</v>
      </c>
      <c r="L22" s="12">
        <f t="shared" si="4"/>
        <v>85</v>
      </c>
      <c r="M22" s="187"/>
      <c r="N22" s="37" t="str">
        <f t="shared" si="5"/>
        <v/>
      </c>
      <c r="O22" s="209">
        <v>26</v>
      </c>
      <c r="P22" s="12">
        <f t="shared" si="6"/>
        <v>65</v>
      </c>
      <c r="Q22" s="12">
        <f t="shared" si="7"/>
        <v>462.5</v>
      </c>
      <c r="R22" s="17">
        <f t="shared" si="8"/>
        <v>77.083333333333343</v>
      </c>
      <c r="S22" s="22"/>
    </row>
    <row r="23" spans="1:19" ht="15.75" customHeight="1">
      <c r="A23" s="86">
        <v>15</v>
      </c>
      <c r="B23" s="210" t="s">
        <v>585</v>
      </c>
      <c r="C23" s="78">
        <v>31</v>
      </c>
      <c r="D23" s="12">
        <f t="shared" si="9"/>
        <v>77.5</v>
      </c>
      <c r="E23" s="211">
        <v>35</v>
      </c>
      <c r="F23" s="12">
        <f t="shared" si="1"/>
        <v>87.5</v>
      </c>
      <c r="G23" s="211">
        <v>18</v>
      </c>
      <c r="H23" s="12">
        <f t="shared" si="2"/>
        <v>45</v>
      </c>
      <c r="I23" s="79">
        <v>27</v>
      </c>
      <c r="J23" s="12">
        <f t="shared" si="3"/>
        <v>67.5</v>
      </c>
      <c r="K23" s="212">
        <v>35</v>
      </c>
      <c r="L23" s="12">
        <f t="shared" si="4"/>
        <v>87.5</v>
      </c>
      <c r="M23" s="187"/>
      <c r="N23" s="37" t="str">
        <f t="shared" si="5"/>
        <v/>
      </c>
      <c r="O23" s="209">
        <v>19</v>
      </c>
      <c r="P23" s="12">
        <f t="shared" si="6"/>
        <v>47.5</v>
      </c>
      <c r="Q23" s="12">
        <f t="shared" si="7"/>
        <v>412.5</v>
      </c>
      <c r="R23" s="17">
        <f t="shared" si="8"/>
        <v>68.75</v>
      </c>
      <c r="S23" s="22"/>
    </row>
    <row r="24" spans="1:19" ht="15.75" customHeight="1">
      <c r="A24" s="86">
        <v>16</v>
      </c>
      <c r="B24" s="210" t="s">
        <v>586</v>
      </c>
      <c r="C24" s="207">
        <v>29</v>
      </c>
      <c r="D24" s="12">
        <f t="shared" si="9"/>
        <v>72.5</v>
      </c>
      <c r="E24" s="211">
        <v>32</v>
      </c>
      <c r="F24" s="12">
        <f t="shared" si="1"/>
        <v>80</v>
      </c>
      <c r="G24" s="216">
        <v>24</v>
      </c>
      <c r="H24" s="12">
        <f t="shared" si="2"/>
        <v>60</v>
      </c>
      <c r="I24" s="207">
        <v>27</v>
      </c>
      <c r="J24" s="12">
        <f t="shared" si="3"/>
        <v>67.5</v>
      </c>
      <c r="K24" s="212">
        <v>30</v>
      </c>
      <c r="L24" s="12">
        <f t="shared" si="4"/>
        <v>75</v>
      </c>
      <c r="M24" s="187"/>
      <c r="N24" s="37" t="str">
        <f t="shared" si="5"/>
        <v/>
      </c>
      <c r="O24" s="209">
        <v>25</v>
      </c>
      <c r="P24" s="12">
        <f t="shared" si="6"/>
        <v>62.5</v>
      </c>
      <c r="Q24" s="12">
        <f t="shared" si="7"/>
        <v>417.5</v>
      </c>
      <c r="R24" s="17">
        <f t="shared" si="8"/>
        <v>69.583333333333329</v>
      </c>
      <c r="S24" s="22"/>
    </row>
    <row r="25" spans="1:19" ht="15.75" customHeight="1">
      <c r="A25" s="86">
        <v>17</v>
      </c>
      <c r="B25" s="210" t="s">
        <v>587</v>
      </c>
      <c r="C25" s="211">
        <v>28</v>
      </c>
      <c r="D25" s="12">
        <f t="shared" si="9"/>
        <v>70</v>
      </c>
      <c r="E25" s="211">
        <v>20</v>
      </c>
      <c r="F25" s="12">
        <f t="shared" si="1"/>
        <v>50</v>
      </c>
      <c r="G25" s="211">
        <v>13</v>
      </c>
      <c r="H25" s="12">
        <f t="shared" si="2"/>
        <v>32.5</v>
      </c>
      <c r="I25" s="211">
        <v>23</v>
      </c>
      <c r="J25" s="12">
        <f t="shared" si="3"/>
        <v>57.499999999999993</v>
      </c>
      <c r="K25" s="214">
        <v>29</v>
      </c>
      <c r="L25" s="12">
        <f t="shared" si="4"/>
        <v>72.5</v>
      </c>
      <c r="M25" s="187"/>
      <c r="N25" s="37" t="str">
        <f t="shared" si="5"/>
        <v/>
      </c>
      <c r="O25" s="209">
        <v>23</v>
      </c>
      <c r="P25" s="12">
        <f t="shared" si="6"/>
        <v>57.499999999999993</v>
      </c>
      <c r="Q25" s="12">
        <f t="shared" si="7"/>
        <v>340</v>
      </c>
      <c r="R25" s="17">
        <f t="shared" si="8"/>
        <v>56.666666666666664</v>
      </c>
      <c r="S25" s="22"/>
    </row>
    <row r="26" spans="1:19" ht="15.75" customHeight="1">
      <c r="A26" s="86">
        <v>18</v>
      </c>
      <c r="B26" s="210" t="s">
        <v>588</v>
      </c>
      <c r="C26" s="211">
        <v>27</v>
      </c>
      <c r="D26" s="12">
        <f t="shared" si="9"/>
        <v>67.5</v>
      </c>
      <c r="E26" s="211">
        <v>28</v>
      </c>
      <c r="F26" s="12">
        <f t="shared" si="1"/>
        <v>70</v>
      </c>
      <c r="G26" s="211">
        <v>19</v>
      </c>
      <c r="H26" s="12">
        <f t="shared" si="2"/>
        <v>47.5</v>
      </c>
      <c r="I26" s="211">
        <v>28</v>
      </c>
      <c r="J26" s="12">
        <f t="shared" si="3"/>
        <v>70</v>
      </c>
      <c r="K26" s="214">
        <v>28</v>
      </c>
      <c r="L26" s="12">
        <f t="shared" si="4"/>
        <v>70</v>
      </c>
      <c r="M26" s="187"/>
      <c r="N26" s="37" t="str">
        <f t="shared" si="5"/>
        <v/>
      </c>
      <c r="O26" s="209">
        <v>23</v>
      </c>
      <c r="P26" s="12">
        <f t="shared" si="6"/>
        <v>57.499999999999993</v>
      </c>
      <c r="Q26" s="12">
        <f t="shared" si="7"/>
        <v>382.5</v>
      </c>
      <c r="R26" s="17">
        <f t="shared" si="8"/>
        <v>63.749999999999993</v>
      </c>
      <c r="S26" s="22"/>
    </row>
    <row r="27" spans="1:19" ht="18">
      <c r="A27" s="86">
        <v>19</v>
      </c>
      <c r="B27" s="210" t="s">
        <v>589</v>
      </c>
      <c r="C27" s="211">
        <v>33</v>
      </c>
      <c r="D27" s="12">
        <f t="shared" si="9"/>
        <v>82.5</v>
      </c>
      <c r="E27" s="211">
        <v>25</v>
      </c>
      <c r="F27" s="12">
        <f t="shared" si="1"/>
        <v>62.5</v>
      </c>
      <c r="G27" s="211">
        <v>33</v>
      </c>
      <c r="H27" s="12">
        <f t="shared" si="2"/>
        <v>82.5</v>
      </c>
      <c r="I27" s="211">
        <v>33</v>
      </c>
      <c r="J27" s="12">
        <f t="shared" si="3"/>
        <v>82.5</v>
      </c>
      <c r="K27" s="217">
        <v>33</v>
      </c>
      <c r="L27" s="37">
        <f t="shared" si="4"/>
        <v>82.5</v>
      </c>
      <c r="M27" s="187"/>
      <c r="N27" s="37" t="str">
        <f t="shared" si="5"/>
        <v/>
      </c>
      <c r="O27" s="209">
        <v>29</v>
      </c>
      <c r="P27" s="12">
        <f t="shared" si="6"/>
        <v>72.5</v>
      </c>
      <c r="Q27" s="12">
        <f t="shared" si="7"/>
        <v>465</v>
      </c>
      <c r="R27" s="17">
        <f t="shared" si="8"/>
        <v>77.5</v>
      </c>
      <c r="S27" s="22"/>
    </row>
    <row r="28" spans="1:19" ht="21">
      <c r="A28" s="86">
        <v>20</v>
      </c>
      <c r="B28" s="210" t="s">
        <v>590</v>
      </c>
      <c r="C28" s="211">
        <v>28</v>
      </c>
      <c r="D28" s="12">
        <f t="shared" si="9"/>
        <v>70</v>
      </c>
      <c r="E28" s="207">
        <v>34</v>
      </c>
      <c r="F28" s="12">
        <f t="shared" si="1"/>
        <v>85</v>
      </c>
      <c r="G28" s="211">
        <v>23</v>
      </c>
      <c r="H28" s="12">
        <f t="shared" si="2"/>
        <v>57.499999999999993</v>
      </c>
      <c r="I28" s="211">
        <v>36</v>
      </c>
      <c r="J28" s="12">
        <f t="shared" si="3"/>
        <v>90</v>
      </c>
      <c r="K28" s="212">
        <v>37</v>
      </c>
      <c r="L28" s="12">
        <f t="shared" si="4"/>
        <v>92.5</v>
      </c>
      <c r="M28" s="187"/>
      <c r="N28" s="37" t="str">
        <f t="shared" si="5"/>
        <v/>
      </c>
      <c r="O28" s="209">
        <v>27</v>
      </c>
      <c r="P28" s="12">
        <f t="shared" si="6"/>
        <v>67.5</v>
      </c>
      <c r="Q28" s="12">
        <f t="shared" si="7"/>
        <v>462.5</v>
      </c>
      <c r="R28" s="17">
        <f t="shared" si="8"/>
        <v>77.083333333333343</v>
      </c>
      <c r="S28" s="22"/>
    </row>
    <row r="29" spans="1:19" ht="21">
      <c r="A29" s="86">
        <v>21</v>
      </c>
      <c r="B29" s="210" t="s">
        <v>591</v>
      </c>
      <c r="C29" s="211" t="s">
        <v>27</v>
      </c>
      <c r="D29" s="70" t="str">
        <f t="shared" si="9"/>
        <v>TC</v>
      </c>
      <c r="E29" s="211" t="s">
        <v>27</v>
      </c>
      <c r="F29" s="70" t="str">
        <f t="shared" si="1"/>
        <v>TC</v>
      </c>
      <c r="G29" s="211" t="s">
        <v>28</v>
      </c>
      <c r="H29" s="70" t="str">
        <f t="shared" si="2"/>
        <v>TC</v>
      </c>
      <c r="I29" s="211" t="s">
        <v>27</v>
      </c>
      <c r="J29" s="70" t="str">
        <f t="shared" si="3"/>
        <v>TC</v>
      </c>
      <c r="K29" s="214" t="s">
        <v>27</v>
      </c>
      <c r="L29" s="12" t="str">
        <f t="shared" si="4"/>
        <v>TC</v>
      </c>
      <c r="M29" s="187"/>
      <c r="N29" s="37" t="str">
        <f t="shared" si="5"/>
        <v/>
      </c>
      <c r="O29" s="209" t="s">
        <v>28</v>
      </c>
      <c r="P29" s="70" t="str">
        <f t="shared" si="6"/>
        <v>TC</v>
      </c>
      <c r="Q29" s="12">
        <f t="shared" si="7"/>
        <v>0</v>
      </c>
      <c r="R29" s="17">
        <f t="shared" si="8"/>
        <v>0</v>
      </c>
      <c r="S29" s="22"/>
    </row>
    <row r="30" spans="1:19" ht="21">
      <c r="A30" s="86">
        <v>22</v>
      </c>
      <c r="B30" s="210" t="s">
        <v>592</v>
      </c>
      <c r="C30" s="211">
        <v>35</v>
      </c>
      <c r="D30" s="12">
        <f t="shared" si="9"/>
        <v>87.5</v>
      </c>
      <c r="E30" s="211">
        <v>36</v>
      </c>
      <c r="F30" s="12">
        <f t="shared" si="1"/>
        <v>90</v>
      </c>
      <c r="G30" s="211">
        <v>36</v>
      </c>
      <c r="H30" s="12">
        <f t="shared" si="2"/>
        <v>90</v>
      </c>
      <c r="I30" s="211">
        <v>33</v>
      </c>
      <c r="J30" s="12">
        <f t="shared" si="3"/>
        <v>82.5</v>
      </c>
      <c r="K30" s="212">
        <v>37</v>
      </c>
      <c r="L30" s="12">
        <f t="shared" si="4"/>
        <v>92.5</v>
      </c>
      <c r="M30" s="187"/>
      <c r="N30" s="37" t="str">
        <f t="shared" si="5"/>
        <v/>
      </c>
      <c r="O30" s="209">
        <v>32</v>
      </c>
      <c r="P30" s="12">
        <f t="shared" si="6"/>
        <v>80</v>
      </c>
      <c r="Q30" s="12">
        <f t="shared" si="7"/>
        <v>522.5</v>
      </c>
      <c r="R30" s="17">
        <f t="shared" si="8"/>
        <v>87.083333333333329</v>
      </c>
      <c r="S30" s="22"/>
    </row>
    <row r="31" spans="1:19" ht="21">
      <c r="A31" s="86">
        <v>23</v>
      </c>
      <c r="B31" s="218" t="s">
        <v>593</v>
      </c>
      <c r="C31" s="211" t="s">
        <v>123</v>
      </c>
      <c r="D31" s="12" t="e">
        <f t="shared" si="9"/>
        <v>#NAME?</v>
      </c>
      <c r="E31" s="211" t="s">
        <v>23</v>
      </c>
      <c r="F31" s="12" t="e">
        <f t="shared" si="1"/>
        <v>#NAME?</v>
      </c>
      <c r="G31" s="211">
        <v>17</v>
      </c>
      <c r="H31" s="12">
        <f t="shared" si="2"/>
        <v>42.5</v>
      </c>
      <c r="I31" s="211">
        <v>17</v>
      </c>
      <c r="J31" s="12">
        <f t="shared" si="3"/>
        <v>42.5</v>
      </c>
      <c r="K31" s="214">
        <v>29</v>
      </c>
      <c r="L31" s="12">
        <f t="shared" si="4"/>
        <v>72.5</v>
      </c>
      <c r="M31" s="187"/>
      <c r="N31" s="37" t="str">
        <f t="shared" si="5"/>
        <v/>
      </c>
      <c r="O31" s="209" t="s">
        <v>123</v>
      </c>
      <c r="P31" s="12" t="e">
        <f t="shared" si="6"/>
        <v>#NAME?</v>
      </c>
      <c r="Q31" s="12" t="e">
        <f t="shared" si="7"/>
        <v>#NAME?</v>
      </c>
      <c r="R31" s="17" t="e">
        <f t="shared" si="8"/>
        <v>#NAME?</v>
      </c>
      <c r="S31" s="22"/>
    </row>
    <row r="32" spans="1:19" ht="21">
      <c r="A32" s="86">
        <v>24</v>
      </c>
      <c r="B32" s="218" t="s">
        <v>594</v>
      </c>
      <c r="C32" s="211">
        <v>19</v>
      </c>
      <c r="D32" s="12">
        <f t="shared" si="9"/>
        <v>47.5</v>
      </c>
      <c r="E32" s="211">
        <v>18</v>
      </c>
      <c r="F32" s="70">
        <f t="shared" si="1"/>
        <v>45</v>
      </c>
      <c r="G32" s="219">
        <v>6</v>
      </c>
      <c r="H32" s="70">
        <f t="shared" si="2"/>
        <v>15</v>
      </c>
      <c r="I32" s="211">
        <v>4</v>
      </c>
      <c r="J32" s="70">
        <f t="shared" si="3"/>
        <v>10</v>
      </c>
      <c r="K32" s="212">
        <v>14</v>
      </c>
      <c r="L32" s="70">
        <f t="shared" si="4"/>
        <v>35</v>
      </c>
      <c r="M32" s="187"/>
      <c r="N32" s="37" t="str">
        <f t="shared" si="5"/>
        <v/>
      </c>
      <c r="O32" s="209">
        <v>19</v>
      </c>
      <c r="P32" s="12">
        <f t="shared" si="6"/>
        <v>47.5</v>
      </c>
      <c r="Q32" s="12">
        <f t="shared" si="7"/>
        <v>200</v>
      </c>
      <c r="R32" s="17">
        <f t="shared" si="8"/>
        <v>33.333333333333329</v>
      </c>
      <c r="S32" s="22"/>
    </row>
    <row r="33" spans="1:19" ht="21">
      <c r="A33" s="86">
        <v>25</v>
      </c>
      <c r="B33" s="210" t="s">
        <v>595</v>
      </c>
      <c r="C33" s="211">
        <v>34</v>
      </c>
      <c r="D33" s="12">
        <f t="shared" si="9"/>
        <v>85</v>
      </c>
      <c r="E33" s="211">
        <v>39</v>
      </c>
      <c r="F33" s="12">
        <f t="shared" si="1"/>
        <v>97.5</v>
      </c>
      <c r="G33" s="211">
        <v>39</v>
      </c>
      <c r="H33" s="12">
        <f t="shared" si="2"/>
        <v>97.5</v>
      </c>
      <c r="I33" s="211">
        <v>39</v>
      </c>
      <c r="J33" s="12">
        <f t="shared" si="3"/>
        <v>97.5</v>
      </c>
      <c r="K33" s="214">
        <v>33</v>
      </c>
      <c r="L33" s="12">
        <f t="shared" si="4"/>
        <v>82.5</v>
      </c>
      <c r="M33" s="187"/>
      <c r="N33" s="37" t="str">
        <f t="shared" si="5"/>
        <v/>
      </c>
      <c r="O33" s="209">
        <v>39</v>
      </c>
      <c r="P33" s="12">
        <f t="shared" si="6"/>
        <v>97.5</v>
      </c>
      <c r="Q33" s="12">
        <f t="shared" si="7"/>
        <v>557.5</v>
      </c>
      <c r="R33" s="17">
        <f t="shared" si="8"/>
        <v>92.916666666666671</v>
      </c>
      <c r="S33" s="22"/>
    </row>
    <row r="34" spans="1:19" ht="21">
      <c r="A34" s="86">
        <v>26</v>
      </c>
      <c r="B34" s="210" t="s">
        <v>596</v>
      </c>
      <c r="C34" s="211">
        <v>37</v>
      </c>
      <c r="D34" s="12">
        <f t="shared" si="9"/>
        <v>92.5</v>
      </c>
      <c r="E34" s="211">
        <v>36</v>
      </c>
      <c r="F34" s="12">
        <f t="shared" si="1"/>
        <v>90</v>
      </c>
      <c r="G34" s="211">
        <v>37</v>
      </c>
      <c r="H34" s="12">
        <f t="shared" si="2"/>
        <v>92.5</v>
      </c>
      <c r="I34" s="211">
        <v>39</v>
      </c>
      <c r="J34" s="12">
        <f t="shared" si="3"/>
        <v>97.5</v>
      </c>
      <c r="K34" s="212">
        <v>38</v>
      </c>
      <c r="L34" s="12">
        <f t="shared" si="4"/>
        <v>95</v>
      </c>
      <c r="M34" s="187"/>
      <c r="N34" s="37" t="str">
        <f t="shared" si="5"/>
        <v/>
      </c>
      <c r="O34" s="209">
        <v>28</v>
      </c>
      <c r="P34" s="12">
        <f t="shared" si="6"/>
        <v>70</v>
      </c>
      <c r="Q34" s="12">
        <f t="shared" si="7"/>
        <v>537.5</v>
      </c>
      <c r="R34" s="17">
        <f t="shared" si="8"/>
        <v>89.583333333333343</v>
      </c>
      <c r="S34" s="22"/>
    </row>
    <row r="35" spans="1:19" ht="21">
      <c r="A35" s="86">
        <v>27</v>
      </c>
      <c r="B35" s="210" t="s">
        <v>597</v>
      </c>
      <c r="C35" s="211">
        <v>17</v>
      </c>
      <c r="D35" s="70">
        <f t="shared" si="9"/>
        <v>42.5</v>
      </c>
      <c r="E35" s="211">
        <v>16</v>
      </c>
      <c r="F35" s="70">
        <f t="shared" si="1"/>
        <v>40</v>
      </c>
      <c r="G35" s="211">
        <v>8</v>
      </c>
      <c r="H35" s="70">
        <f t="shared" si="2"/>
        <v>20</v>
      </c>
      <c r="I35" s="211">
        <v>6</v>
      </c>
      <c r="J35" s="70">
        <f t="shared" si="3"/>
        <v>15</v>
      </c>
      <c r="K35" s="214">
        <v>14</v>
      </c>
      <c r="L35" s="70">
        <f t="shared" si="4"/>
        <v>35</v>
      </c>
      <c r="M35" s="187"/>
      <c r="N35" s="37" t="str">
        <f t="shared" si="5"/>
        <v/>
      </c>
      <c r="O35" s="209">
        <v>9</v>
      </c>
      <c r="P35" s="70">
        <f t="shared" si="6"/>
        <v>22.5</v>
      </c>
      <c r="Q35" s="12">
        <f t="shared" si="7"/>
        <v>175</v>
      </c>
      <c r="R35" s="17">
        <f t="shared" si="8"/>
        <v>29.166666666666668</v>
      </c>
      <c r="S35" s="22"/>
    </row>
    <row r="36" spans="1:19" ht="21">
      <c r="A36" s="86">
        <v>28</v>
      </c>
      <c r="B36" s="210" t="s">
        <v>598</v>
      </c>
      <c r="C36" s="213">
        <v>35</v>
      </c>
      <c r="D36" s="37">
        <f t="shared" si="9"/>
        <v>87.5</v>
      </c>
      <c r="E36" s="211">
        <v>30</v>
      </c>
      <c r="F36" s="12">
        <f t="shared" si="1"/>
        <v>75</v>
      </c>
      <c r="G36" s="211">
        <v>32</v>
      </c>
      <c r="H36" s="12">
        <f t="shared" si="2"/>
        <v>80</v>
      </c>
      <c r="I36" s="211">
        <v>28</v>
      </c>
      <c r="J36" s="12">
        <f t="shared" si="3"/>
        <v>70</v>
      </c>
      <c r="K36" s="214">
        <v>31</v>
      </c>
      <c r="L36" s="12">
        <f t="shared" si="4"/>
        <v>77.5</v>
      </c>
      <c r="M36" s="187"/>
      <c r="N36" s="37" t="str">
        <f t="shared" si="5"/>
        <v/>
      </c>
      <c r="O36" s="209">
        <v>22</v>
      </c>
      <c r="P36" s="12">
        <f t="shared" si="6"/>
        <v>55.000000000000007</v>
      </c>
      <c r="Q36" s="12">
        <f t="shared" si="7"/>
        <v>445</v>
      </c>
      <c r="R36" s="17">
        <f t="shared" si="8"/>
        <v>74.166666666666671</v>
      </c>
      <c r="S36" s="22"/>
    </row>
    <row r="37" spans="1:19" ht="21">
      <c r="A37" s="86">
        <v>29</v>
      </c>
      <c r="B37" s="210" t="s">
        <v>599</v>
      </c>
      <c r="C37" s="211">
        <v>28</v>
      </c>
      <c r="D37" s="12">
        <f t="shared" si="9"/>
        <v>70</v>
      </c>
      <c r="E37" s="211">
        <v>32</v>
      </c>
      <c r="F37" s="12">
        <f t="shared" si="1"/>
        <v>80</v>
      </c>
      <c r="G37" s="211">
        <v>13</v>
      </c>
      <c r="H37" s="12">
        <f t="shared" si="2"/>
        <v>32.5</v>
      </c>
      <c r="I37" s="211">
        <v>34</v>
      </c>
      <c r="J37" s="12">
        <f t="shared" si="3"/>
        <v>85</v>
      </c>
      <c r="K37" s="214">
        <v>30</v>
      </c>
      <c r="L37" s="12">
        <f t="shared" si="4"/>
        <v>75</v>
      </c>
      <c r="M37" s="187"/>
      <c r="N37" s="37" t="str">
        <f t="shared" si="5"/>
        <v/>
      </c>
      <c r="O37" s="209">
        <v>23</v>
      </c>
      <c r="P37" s="12">
        <f t="shared" si="6"/>
        <v>57.499999999999993</v>
      </c>
      <c r="Q37" s="12">
        <f t="shared" si="7"/>
        <v>400</v>
      </c>
      <c r="R37" s="17">
        <f t="shared" si="8"/>
        <v>66.666666666666657</v>
      </c>
      <c r="S37" s="22"/>
    </row>
    <row r="38" spans="1:19" ht="21">
      <c r="A38" s="86">
        <v>30</v>
      </c>
      <c r="B38" s="210" t="s">
        <v>600</v>
      </c>
      <c r="C38" s="211">
        <v>31</v>
      </c>
      <c r="D38" s="12">
        <f t="shared" si="9"/>
        <v>77.5</v>
      </c>
      <c r="E38" s="211">
        <v>39</v>
      </c>
      <c r="F38" s="12">
        <f t="shared" si="1"/>
        <v>97.5</v>
      </c>
      <c r="G38" s="211">
        <v>30</v>
      </c>
      <c r="H38" s="12">
        <f t="shared" si="2"/>
        <v>75</v>
      </c>
      <c r="I38" s="211">
        <v>36</v>
      </c>
      <c r="J38" s="12">
        <f t="shared" si="3"/>
        <v>90</v>
      </c>
      <c r="K38" s="214">
        <v>37</v>
      </c>
      <c r="L38" s="12">
        <f t="shared" si="4"/>
        <v>92.5</v>
      </c>
      <c r="M38" s="187"/>
      <c r="N38" s="37" t="str">
        <f t="shared" si="5"/>
        <v/>
      </c>
      <c r="O38" s="209">
        <v>31</v>
      </c>
      <c r="P38" s="12">
        <f t="shared" si="6"/>
        <v>77.5</v>
      </c>
      <c r="Q38" s="12">
        <f t="shared" si="7"/>
        <v>510</v>
      </c>
      <c r="R38" s="17">
        <f t="shared" si="8"/>
        <v>85</v>
      </c>
      <c r="S38" s="22"/>
    </row>
    <row r="39" spans="1:19" ht="21">
      <c r="A39" s="86">
        <v>31</v>
      </c>
      <c r="B39" s="210" t="s">
        <v>601</v>
      </c>
      <c r="C39" s="211">
        <v>33</v>
      </c>
      <c r="D39" s="12">
        <f t="shared" si="9"/>
        <v>82.5</v>
      </c>
      <c r="E39" s="211">
        <v>25</v>
      </c>
      <c r="F39" s="12">
        <f t="shared" si="1"/>
        <v>62.5</v>
      </c>
      <c r="G39" s="211">
        <v>22</v>
      </c>
      <c r="H39" s="12">
        <f t="shared" si="2"/>
        <v>55.000000000000007</v>
      </c>
      <c r="I39" s="211">
        <v>34</v>
      </c>
      <c r="J39" s="12">
        <f t="shared" si="3"/>
        <v>85</v>
      </c>
      <c r="K39" s="214">
        <v>35</v>
      </c>
      <c r="L39" s="12">
        <f t="shared" si="4"/>
        <v>87.5</v>
      </c>
      <c r="M39" s="187"/>
      <c r="N39" s="37" t="str">
        <f t="shared" si="5"/>
        <v/>
      </c>
      <c r="O39" s="209">
        <v>24</v>
      </c>
      <c r="P39" s="12">
        <f t="shared" si="6"/>
        <v>60</v>
      </c>
      <c r="Q39" s="12">
        <f t="shared" si="7"/>
        <v>432.5</v>
      </c>
      <c r="R39" s="17">
        <f t="shared" si="8"/>
        <v>72.083333333333329</v>
      </c>
      <c r="S39" s="22"/>
    </row>
    <row r="40" spans="1:19" ht="21">
      <c r="A40" s="86">
        <v>32</v>
      </c>
      <c r="B40" s="210" t="s">
        <v>602</v>
      </c>
      <c r="C40" s="211">
        <v>35</v>
      </c>
      <c r="D40" s="12">
        <f t="shared" si="9"/>
        <v>87.5</v>
      </c>
      <c r="E40" s="211">
        <v>28</v>
      </c>
      <c r="F40" s="12">
        <f t="shared" si="1"/>
        <v>70</v>
      </c>
      <c r="G40" s="211">
        <v>23</v>
      </c>
      <c r="H40" s="12">
        <f t="shared" si="2"/>
        <v>57.499999999999993</v>
      </c>
      <c r="I40" s="211">
        <v>38</v>
      </c>
      <c r="J40" s="12">
        <f t="shared" si="3"/>
        <v>95</v>
      </c>
      <c r="K40" s="214">
        <v>38</v>
      </c>
      <c r="L40" s="12">
        <f t="shared" si="4"/>
        <v>95</v>
      </c>
      <c r="M40" s="187"/>
      <c r="N40" s="37" t="str">
        <f t="shared" si="5"/>
        <v/>
      </c>
      <c r="O40" s="209">
        <v>31</v>
      </c>
      <c r="P40" s="12">
        <f t="shared" si="6"/>
        <v>77.5</v>
      </c>
      <c r="Q40" s="12">
        <f t="shared" si="7"/>
        <v>482.5</v>
      </c>
      <c r="R40" s="17">
        <f t="shared" si="8"/>
        <v>80.416666666666671</v>
      </c>
      <c r="S40" s="22"/>
    </row>
    <row r="41" spans="1:19" ht="21">
      <c r="A41" s="86">
        <v>33</v>
      </c>
      <c r="B41" s="210" t="s">
        <v>603</v>
      </c>
      <c r="C41" s="211">
        <v>30</v>
      </c>
      <c r="D41" s="12">
        <f t="shared" si="9"/>
        <v>75</v>
      </c>
      <c r="E41" s="213"/>
      <c r="F41" s="12" t="str">
        <f t="shared" si="1"/>
        <v/>
      </c>
      <c r="G41" s="211">
        <v>15</v>
      </c>
      <c r="H41" s="12">
        <f t="shared" si="2"/>
        <v>37.5</v>
      </c>
      <c r="I41" s="211">
        <v>31</v>
      </c>
      <c r="J41" s="12">
        <f t="shared" si="3"/>
        <v>77.5</v>
      </c>
      <c r="K41" s="214">
        <v>26</v>
      </c>
      <c r="L41" s="12">
        <f t="shared" si="4"/>
        <v>65</v>
      </c>
      <c r="M41" s="192">
        <v>21</v>
      </c>
      <c r="N41" s="12">
        <f t="shared" si="5"/>
        <v>52.5</v>
      </c>
      <c r="O41" s="209">
        <v>17</v>
      </c>
      <c r="P41" s="12">
        <f t="shared" si="6"/>
        <v>42.5</v>
      </c>
      <c r="Q41" s="12">
        <f t="shared" si="7"/>
        <v>350</v>
      </c>
      <c r="R41" s="17">
        <f t="shared" si="8"/>
        <v>58.333333333333336</v>
      </c>
      <c r="S41" s="22"/>
    </row>
    <row r="42" spans="1:19" ht="21">
      <c r="A42" s="86">
        <v>34</v>
      </c>
      <c r="B42" s="210" t="s">
        <v>604</v>
      </c>
      <c r="C42" s="211">
        <v>29</v>
      </c>
      <c r="D42" s="12">
        <f t="shared" si="9"/>
        <v>72.5</v>
      </c>
      <c r="E42" s="213"/>
      <c r="F42" s="12" t="str">
        <f t="shared" si="1"/>
        <v/>
      </c>
      <c r="G42" s="211">
        <v>13</v>
      </c>
      <c r="H42" s="12">
        <f t="shared" si="2"/>
        <v>32.5</v>
      </c>
      <c r="I42" s="211">
        <v>13</v>
      </c>
      <c r="J42" s="12">
        <f t="shared" si="3"/>
        <v>32.5</v>
      </c>
      <c r="K42" s="214">
        <v>14</v>
      </c>
      <c r="L42" s="12">
        <f t="shared" si="4"/>
        <v>35</v>
      </c>
      <c r="M42" s="192">
        <v>25</v>
      </c>
      <c r="N42" s="12">
        <f t="shared" si="5"/>
        <v>62.5</v>
      </c>
      <c r="O42" s="209">
        <v>15</v>
      </c>
      <c r="P42" s="12">
        <f t="shared" si="6"/>
        <v>37.5</v>
      </c>
      <c r="Q42" s="12">
        <f t="shared" si="7"/>
        <v>272.5</v>
      </c>
      <c r="R42" s="17">
        <f t="shared" si="8"/>
        <v>45.416666666666664</v>
      </c>
      <c r="S42" s="22"/>
    </row>
    <row r="43" spans="1:19" ht="21">
      <c r="A43" s="86">
        <v>35</v>
      </c>
      <c r="B43" s="210" t="s">
        <v>605</v>
      </c>
      <c r="C43" s="211">
        <v>33</v>
      </c>
      <c r="D43" s="12">
        <f t="shared" si="9"/>
        <v>82.5</v>
      </c>
      <c r="E43" s="213"/>
      <c r="F43" s="12" t="str">
        <f t="shared" si="1"/>
        <v/>
      </c>
      <c r="G43" s="211">
        <v>15</v>
      </c>
      <c r="H43" s="12">
        <f t="shared" si="2"/>
        <v>37.5</v>
      </c>
      <c r="I43" s="211">
        <v>32</v>
      </c>
      <c r="J43" s="12">
        <f t="shared" si="3"/>
        <v>80</v>
      </c>
      <c r="K43" s="214">
        <v>30</v>
      </c>
      <c r="L43" s="12">
        <f t="shared" si="4"/>
        <v>75</v>
      </c>
      <c r="M43" s="192">
        <v>18</v>
      </c>
      <c r="N43" s="12">
        <f t="shared" si="5"/>
        <v>45</v>
      </c>
      <c r="O43" s="209">
        <v>26</v>
      </c>
      <c r="P43" s="12">
        <f t="shared" si="6"/>
        <v>65</v>
      </c>
      <c r="Q43" s="12">
        <f t="shared" si="7"/>
        <v>385</v>
      </c>
      <c r="R43" s="17">
        <f t="shared" si="8"/>
        <v>64.166666666666671</v>
      </c>
      <c r="S43" s="22"/>
    </row>
    <row r="44" spans="1:19" ht="21">
      <c r="A44" s="86">
        <v>36</v>
      </c>
      <c r="B44" s="210" t="s">
        <v>606</v>
      </c>
      <c r="C44" s="213">
        <v>24</v>
      </c>
      <c r="D44" s="37">
        <f t="shared" si="9"/>
        <v>60</v>
      </c>
      <c r="E44" s="213"/>
      <c r="F44" s="12" t="str">
        <f t="shared" si="1"/>
        <v/>
      </c>
      <c r="G44" s="211">
        <v>13</v>
      </c>
      <c r="H44" s="12">
        <f t="shared" si="2"/>
        <v>32.5</v>
      </c>
      <c r="I44" s="211">
        <v>18</v>
      </c>
      <c r="J44" s="12">
        <f t="shared" si="3"/>
        <v>45</v>
      </c>
      <c r="K44" s="214">
        <v>25</v>
      </c>
      <c r="L44" s="12">
        <f t="shared" si="4"/>
        <v>62.5</v>
      </c>
      <c r="M44" s="220">
        <v>14</v>
      </c>
      <c r="N44" s="12">
        <f t="shared" si="5"/>
        <v>35</v>
      </c>
      <c r="O44" s="209">
        <v>16</v>
      </c>
      <c r="P44" s="12">
        <f t="shared" si="6"/>
        <v>40</v>
      </c>
      <c r="Q44" s="12">
        <f t="shared" si="7"/>
        <v>275</v>
      </c>
      <c r="R44" s="17">
        <f t="shared" si="8"/>
        <v>45.833333333333329</v>
      </c>
      <c r="S44" s="22"/>
    </row>
    <row r="45" spans="1:19" ht="21">
      <c r="A45" s="86">
        <v>37</v>
      </c>
      <c r="B45" s="210" t="s">
        <v>607</v>
      </c>
      <c r="C45" s="211">
        <v>25</v>
      </c>
      <c r="D45" s="12">
        <f t="shared" si="9"/>
        <v>62.5</v>
      </c>
      <c r="E45" s="213"/>
      <c r="F45" s="12" t="str">
        <f t="shared" si="1"/>
        <v/>
      </c>
      <c r="G45" s="211">
        <v>13</v>
      </c>
      <c r="H45" s="12">
        <f t="shared" si="2"/>
        <v>32.5</v>
      </c>
      <c r="I45" s="211">
        <v>28</v>
      </c>
      <c r="J45" s="12">
        <f t="shared" si="3"/>
        <v>70</v>
      </c>
      <c r="K45" s="214">
        <v>30</v>
      </c>
      <c r="L45" s="12">
        <f t="shared" si="4"/>
        <v>75</v>
      </c>
      <c r="M45" s="192">
        <v>17</v>
      </c>
      <c r="N45" s="12">
        <f t="shared" si="5"/>
        <v>42.5</v>
      </c>
      <c r="O45" s="209">
        <v>24</v>
      </c>
      <c r="P45" s="12">
        <f t="shared" si="6"/>
        <v>60</v>
      </c>
      <c r="Q45" s="12">
        <f t="shared" si="7"/>
        <v>342.5</v>
      </c>
      <c r="R45" s="17">
        <f t="shared" si="8"/>
        <v>57.083333333333329</v>
      </c>
      <c r="S45" s="22"/>
    </row>
    <row r="46" spans="1:19" ht="21">
      <c r="A46" s="86">
        <v>38</v>
      </c>
      <c r="B46" s="210" t="s">
        <v>608</v>
      </c>
      <c r="C46" s="213">
        <v>22</v>
      </c>
      <c r="D46" s="37">
        <f t="shared" si="9"/>
        <v>55.000000000000007</v>
      </c>
      <c r="E46" s="213"/>
      <c r="F46" s="12" t="str">
        <f t="shared" si="1"/>
        <v/>
      </c>
      <c r="G46" s="211">
        <v>18</v>
      </c>
      <c r="H46" s="12">
        <f t="shared" si="2"/>
        <v>45</v>
      </c>
      <c r="I46" s="211">
        <v>11</v>
      </c>
      <c r="J46" s="12">
        <f t="shared" si="3"/>
        <v>27.500000000000004</v>
      </c>
      <c r="K46" s="214">
        <v>20</v>
      </c>
      <c r="L46" s="12">
        <f t="shared" si="4"/>
        <v>50</v>
      </c>
      <c r="M46" s="220">
        <v>14</v>
      </c>
      <c r="N46" s="12">
        <f t="shared" si="5"/>
        <v>35</v>
      </c>
      <c r="O46" s="209">
        <v>18</v>
      </c>
      <c r="P46" s="12">
        <f t="shared" si="6"/>
        <v>45</v>
      </c>
      <c r="Q46" s="12">
        <f t="shared" si="7"/>
        <v>257.5</v>
      </c>
      <c r="R46" s="17">
        <f t="shared" si="8"/>
        <v>42.916666666666664</v>
      </c>
      <c r="S46" s="22"/>
    </row>
    <row r="47" spans="1:19" ht="21">
      <c r="A47" s="86">
        <v>39</v>
      </c>
      <c r="B47" s="210" t="s">
        <v>609</v>
      </c>
      <c r="C47" s="211">
        <v>18</v>
      </c>
      <c r="D47" s="12">
        <f t="shared" si="9"/>
        <v>45</v>
      </c>
      <c r="E47" s="213"/>
      <c r="F47" s="12" t="str">
        <f t="shared" si="1"/>
        <v/>
      </c>
      <c r="G47" s="211">
        <v>14</v>
      </c>
      <c r="H47" s="70">
        <f t="shared" si="2"/>
        <v>35</v>
      </c>
      <c r="I47" s="211">
        <v>11</v>
      </c>
      <c r="J47" s="12">
        <f t="shared" si="3"/>
        <v>27.500000000000004</v>
      </c>
      <c r="K47" s="214">
        <v>22</v>
      </c>
      <c r="L47" s="12">
        <f t="shared" si="4"/>
        <v>55.000000000000007</v>
      </c>
      <c r="M47" s="192">
        <v>15</v>
      </c>
      <c r="N47" s="12">
        <f t="shared" si="5"/>
        <v>37.5</v>
      </c>
      <c r="O47" s="209">
        <v>19</v>
      </c>
      <c r="P47" s="12">
        <f t="shared" si="6"/>
        <v>47.5</v>
      </c>
      <c r="Q47" s="12">
        <f t="shared" si="7"/>
        <v>247.5</v>
      </c>
      <c r="R47" s="17">
        <f t="shared" si="8"/>
        <v>41.25</v>
      </c>
      <c r="S47" s="22"/>
    </row>
    <row r="48" spans="1:19" ht="21">
      <c r="A48" s="86">
        <v>40</v>
      </c>
      <c r="B48" s="210" t="s">
        <v>610</v>
      </c>
      <c r="C48" s="211">
        <v>22</v>
      </c>
      <c r="D48" s="12">
        <f t="shared" si="9"/>
        <v>55.000000000000007</v>
      </c>
      <c r="E48" s="213"/>
      <c r="F48" s="12" t="str">
        <f t="shared" si="1"/>
        <v/>
      </c>
      <c r="G48" s="211">
        <v>16</v>
      </c>
      <c r="H48" s="12">
        <f t="shared" si="2"/>
        <v>40</v>
      </c>
      <c r="I48" s="211">
        <v>26</v>
      </c>
      <c r="J48" s="12">
        <f t="shared" si="3"/>
        <v>65</v>
      </c>
      <c r="K48" s="214">
        <v>23</v>
      </c>
      <c r="L48" s="12">
        <f t="shared" si="4"/>
        <v>57.499999999999993</v>
      </c>
      <c r="M48" s="192">
        <v>19</v>
      </c>
      <c r="N48" s="12">
        <f t="shared" si="5"/>
        <v>47.5</v>
      </c>
      <c r="O48" s="12">
        <v>17</v>
      </c>
      <c r="P48" s="12">
        <f t="shared" si="6"/>
        <v>42.5</v>
      </c>
      <c r="Q48" s="12">
        <f t="shared" si="7"/>
        <v>307.5</v>
      </c>
      <c r="R48" s="17">
        <f t="shared" si="8"/>
        <v>51.249999999999993</v>
      </c>
      <c r="S48" s="22"/>
    </row>
    <row r="49" spans="1:19" ht="21">
      <c r="A49" s="86">
        <v>41</v>
      </c>
      <c r="B49" s="210" t="s">
        <v>611</v>
      </c>
      <c r="C49" s="41">
        <v>27</v>
      </c>
      <c r="D49" s="12">
        <f t="shared" si="9"/>
        <v>67.5</v>
      </c>
      <c r="E49" s="22"/>
      <c r="F49" s="12" t="str">
        <f t="shared" si="1"/>
        <v/>
      </c>
      <c r="G49" s="41">
        <v>14</v>
      </c>
      <c r="H49" s="12">
        <f t="shared" si="2"/>
        <v>35</v>
      </c>
      <c r="I49" s="41">
        <v>32</v>
      </c>
      <c r="J49" s="12">
        <f t="shared" si="3"/>
        <v>80</v>
      </c>
      <c r="K49" s="221">
        <v>32</v>
      </c>
      <c r="L49" s="12">
        <f t="shared" si="4"/>
        <v>80</v>
      </c>
      <c r="M49" s="34">
        <v>31</v>
      </c>
      <c r="N49" s="12">
        <f t="shared" si="5"/>
        <v>77.5</v>
      </c>
      <c r="O49" s="12">
        <v>21</v>
      </c>
      <c r="P49" s="12">
        <f t="shared" si="6"/>
        <v>52.5</v>
      </c>
      <c r="Q49" s="12">
        <f t="shared" si="7"/>
        <v>392.5</v>
      </c>
      <c r="R49" s="17">
        <f t="shared" si="8"/>
        <v>65.416666666666671</v>
      </c>
      <c r="S49" s="22"/>
    </row>
    <row r="50" spans="1:19" ht="18">
      <c r="A50" s="86">
        <v>42</v>
      </c>
      <c r="B50" s="210" t="s">
        <v>612</v>
      </c>
      <c r="C50" s="41">
        <v>17</v>
      </c>
      <c r="D50" s="12">
        <f t="shared" si="9"/>
        <v>42.5</v>
      </c>
      <c r="E50" s="22"/>
      <c r="F50" s="12" t="str">
        <f t="shared" si="1"/>
        <v/>
      </c>
      <c r="G50" s="41">
        <v>5</v>
      </c>
      <c r="H50" s="70">
        <f t="shared" si="2"/>
        <v>12.5</v>
      </c>
      <c r="I50" s="41">
        <v>6</v>
      </c>
      <c r="J50" s="70">
        <f t="shared" si="3"/>
        <v>15</v>
      </c>
      <c r="K50" s="41">
        <v>14</v>
      </c>
      <c r="L50" s="12">
        <f t="shared" si="4"/>
        <v>35</v>
      </c>
      <c r="M50" s="162" t="s">
        <v>123</v>
      </c>
      <c r="N50" s="12" t="e">
        <f t="shared" si="5"/>
        <v>#NAME?</v>
      </c>
      <c r="O50" s="12">
        <v>16</v>
      </c>
      <c r="P50" s="12">
        <f t="shared" si="6"/>
        <v>40</v>
      </c>
      <c r="Q50" s="12" t="e">
        <f t="shared" si="7"/>
        <v>#NAME?</v>
      </c>
      <c r="R50" s="17" t="e">
        <f t="shared" si="8"/>
        <v>#NAME?</v>
      </c>
      <c r="S50" s="22"/>
    </row>
    <row r="51" spans="1:19" ht="18">
      <c r="A51" s="86">
        <v>43</v>
      </c>
      <c r="B51" s="22" t="s">
        <v>613</v>
      </c>
      <c r="C51" s="22">
        <v>31</v>
      </c>
      <c r="D51" s="12">
        <f t="shared" si="9"/>
        <v>77.5</v>
      </c>
      <c r="E51" s="79">
        <v>31</v>
      </c>
      <c r="F51" s="12">
        <f t="shared" si="1"/>
        <v>77.5</v>
      </c>
      <c r="G51" s="22" t="s">
        <v>24</v>
      </c>
      <c r="H51" s="38"/>
      <c r="I51" s="79">
        <v>28</v>
      </c>
      <c r="J51" s="70">
        <f t="shared" si="3"/>
        <v>70</v>
      </c>
      <c r="K51" s="22">
        <v>30</v>
      </c>
      <c r="L51" s="12">
        <f t="shared" si="4"/>
        <v>75</v>
      </c>
      <c r="M51" s="37"/>
      <c r="N51" s="37"/>
      <c r="O51" s="37">
        <v>26</v>
      </c>
      <c r="P51" s="37">
        <f t="shared" si="6"/>
        <v>65</v>
      </c>
      <c r="Q51" s="37"/>
      <c r="R51" s="39"/>
      <c r="S51" s="22"/>
    </row>
    <row r="52" spans="1:19" ht="18">
      <c r="A52" s="86">
        <v>44</v>
      </c>
      <c r="B52" s="22"/>
      <c r="C52" s="22"/>
      <c r="D52" s="12" t="str">
        <f t="shared" si="9"/>
        <v/>
      </c>
      <c r="E52" s="22"/>
      <c r="F52" s="37"/>
      <c r="G52" s="22"/>
      <c r="H52" s="38"/>
      <c r="I52" s="22"/>
      <c r="J52" s="40"/>
      <c r="K52" s="22"/>
      <c r="L52" s="37"/>
      <c r="M52" s="37"/>
      <c r="N52" s="37"/>
      <c r="O52" s="37"/>
      <c r="P52" s="37"/>
      <c r="Q52" s="37"/>
      <c r="R52" s="39"/>
      <c r="S52" s="22"/>
    </row>
    <row r="53" spans="1:19" ht="18">
      <c r="A53" s="86">
        <v>45</v>
      </c>
      <c r="B53" s="22"/>
      <c r="C53" s="37"/>
      <c r="D53" s="37"/>
      <c r="E53" s="37"/>
      <c r="F53" s="37"/>
      <c r="G53" s="38"/>
      <c r="H53" s="38"/>
      <c r="I53" s="22"/>
      <c r="J53" s="40"/>
      <c r="K53" s="37"/>
      <c r="L53" s="37"/>
      <c r="M53" s="37"/>
      <c r="N53" s="37"/>
      <c r="O53" s="37"/>
      <c r="P53" s="37"/>
      <c r="Q53" s="37"/>
      <c r="R53" s="39"/>
      <c r="S53" s="22"/>
    </row>
    <row r="54" spans="1:19" ht="18">
      <c r="A54" s="86">
        <v>46</v>
      </c>
      <c r="B54" s="22"/>
      <c r="C54" s="37"/>
      <c r="D54" s="37"/>
      <c r="E54" s="37"/>
      <c r="F54" s="37"/>
      <c r="G54" s="38"/>
      <c r="H54" s="38"/>
      <c r="I54" s="22"/>
      <c r="J54" s="40"/>
      <c r="K54" s="37"/>
      <c r="L54" s="37"/>
      <c r="M54" s="37"/>
      <c r="N54" s="37"/>
      <c r="O54" s="37"/>
      <c r="P54" s="37"/>
      <c r="Q54" s="37"/>
      <c r="R54" s="39"/>
      <c r="S54" s="22"/>
    </row>
    <row r="55" spans="1:19" ht="18">
      <c r="A55" s="86">
        <v>47</v>
      </c>
      <c r="B55" s="22"/>
      <c r="C55" s="37"/>
      <c r="D55" s="37"/>
      <c r="E55" s="37"/>
      <c r="F55" s="37"/>
      <c r="G55" s="38"/>
      <c r="H55" s="38"/>
      <c r="I55" s="22"/>
      <c r="J55" s="40"/>
      <c r="K55" s="37"/>
      <c r="L55" s="37"/>
      <c r="M55" s="37"/>
      <c r="N55" s="37"/>
      <c r="O55" s="37"/>
      <c r="P55" s="37"/>
      <c r="Q55" s="37"/>
      <c r="R55" s="39"/>
      <c r="S55" s="22"/>
    </row>
    <row r="56" spans="1:19" ht="18">
      <c r="A56" s="86">
        <v>48</v>
      </c>
      <c r="B56" s="22"/>
      <c r="C56" s="37"/>
      <c r="D56" s="37"/>
      <c r="E56" s="37"/>
      <c r="F56" s="37"/>
      <c r="G56" s="38"/>
      <c r="H56" s="38"/>
      <c r="I56" s="22"/>
      <c r="J56" s="40"/>
      <c r="K56" s="37"/>
      <c r="L56" s="37"/>
      <c r="M56" s="37"/>
      <c r="N56" s="37"/>
      <c r="O56" s="37"/>
      <c r="P56" s="37"/>
      <c r="Q56" s="37"/>
      <c r="R56" s="39"/>
      <c r="S56" s="22"/>
    </row>
    <row r="57" spans="1:19" ht="18">
      <c r="A57" s="86">
        <v>49</v>
      </c>
      <c r="B57" s="22"/>
      <c r="C57" s="37"/>
      <c r="D57" s="37"/>
      <c r="E57" s="37"/>
      <c r="F57" s="37"/>
      <c r="G57" s="38"/>
      <c r="H57" s="38"/>
      <c r="I57" s="22"/>
      <c r="J57" s="40"/>
      <c r="K57" s="37"/>
      <c r="L57" s="37"/>
      <c r="M57" s="37"/>
      <c r="N57" s="37"/>
      <c r="O57" s="37"/>
      <c r="P57" s="37"/>
      <c r="Q57" s="37"/>
      <c r="R57" s="39"/>
      <c r="S57" s="22"/>
    </row>
    <row r="58" spans="1:19" ht="17.399999999999999">
      <c r="A58" s="361" t="s">
        <v>70</v>
      </c>
      <c r="B58" s="362"/>
      <c r="C58" s="39"/>
      <c r="D58" s="37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</row>
    <row r="59" spans="1:19" ht="34.799999999999997">
      <c r="A59" s="387" t="s">
        <v>71</v>
      </c>
      <c r="B59" s="107" t="s">
        <v>72</v>
      </c>
      <c r="C59" s="359">
        <v>42</v>
      </c>
      <c r="D59" s="360"/>
      <c r="E59" s="359">
        <f>COUNTA(E9:E57)</f>
        <v>33</v>
      </c>
      <c r="F59" s="360"/>
      <c r="G59" s="359">
        <v>42</v>
      </c>
      <c r="H59" s="360"/>
      <c r="I59" s="359">
        <v>42</v>
      </c>
      <c r="J59" s="360"/>
      <c r="K59" s="359">
        <v>42</v>
      </c>
      <c r="L59" s="360"/>
      <c r="M59" s="359">
        <f>COUNTA(M9:M57)</f>
        <v>10</v>
      </c>
      <c r="N59" s="360"/>
      <c r="O59" s="359">
        <f>COUNTA(O9:O57)</f>
        <v>43</v>
      </c>
      <c r="P59" s="360"/>
      <c r="Q59" s="359" t="s">
        <v>15</v>
      </c>
      <c r="R59" s="378"/>
      <c r="S59" s="360"/>
    </row>
    <row r="60" spans="1:19" ht="17.399999999999999">
      <c r="A60" s="381"/>
      <c r="B60" s="45" t="s">
        <v>73</v>
      </c>
      <c r="C60" s="361">
        <f>C59-C61</f>
        <v>2</v>
      </c>
      <c r="D60" s="362"/>
      <c r="E60" s="361">
        <f>E59-E61</f>
        <v>2</v>
      </c>
      <c r="F60" s="362"/>
      <c r="G60" s="361">
        <f>G59-G61</f>
        <v>1</v>
      </c>
      <c r="H60" s="362"/>
      <c r="I60" s="361">
        <f>I59-I61</f>
        <v>0</v>
      </c>
      <c r="J60" s="362"/>
      <c r="K60" s="361">
        <f>K59-K61</f>
        <v>0</v>
      </c>
      <c r="L60" s="362"/>
      <c r="M60" s="361">
        <f>M59-M61</f>
        <v>1</v>
      </c>
      <c r="N60" s="362"/>
      <c r="O60" s="361">
        <f>O59-O61</f>
        <v>3</v>
      </c>
      <c r="P60" s="362"/>
      <c r="Q60" s="361">
        <f>COUNTIF(T9:T57,0)</f>
        <v>0</v>
      </c>
      <c r="R60" s="364"/>
      <c r="S60" s="362"/>
    </row>
    <row r="61" spans="1:19" ht="17.399999999999999">
      <c r="A61" s="381"/>
      <c r="B61" s="46" t="s">
        <v>74</v>
      </c>
      <c r="C61" s="361">
        <f>COUNTIFS(D9:D57,"&gt;0")</f>
        <v>40</v>
      </c>
      <c r="D61" s="362"/>
      <c r="E61" s="361">
        <f>COUNTIFS(F9:F57,"&gt;0")</f>
        <v>31</v>
      </c>
      <c r="F61" s="362"/>
      <c r="G61" s="361">
        <f>COUNTIFS(H9:H57,"&gt;0")</f>
        <v>41</v>
      </c>
      <c r="H61" s="362"/>
      <c r="I61" s="361">
        <f>COUNTIFS(J9:J57,"&gt;0")</f>
        <v>42</v>
      </c>
      <c r="J61" s="362"/>
      <c r="K61" s="361">
        <f>COUNTIFS(L9:L57,"&gt;0")</f>
        <v>42</v>
      </c>
      <c r="L61" s="362"/>
      <c r="M61" s="361">
        <f>COUNTIFS(N9:N57,"&gt;0")</f>
        <v>9</v>
      </c>
      <c r="N61" s="362"/>
      <c r="O61" s="361">
        <f>COUNTIFS(P9:P57,"&gt;0")</f>
        <v>40</v>
      </c>
      <c r="P61" s="362"/>
      <c r="Q61" s="361">
        <f>COUNTIFS(R9:R57,"&gt;0")</f>
        <v>38</v>
      </c>
      <c r="R61" s="364"/>
      <c r="S61" s="362"/>
    </row>
    <row r="62" spans="1:19" ht="17.399999999999999">
      <c r="A62" s="381"/>
      <c r="B62" s="46" t="s">
        <v>75</v>
      </c>
      <c r="C62" s="361">
        <f>C61-C64</f>
        <v>40</v>
      </c>
      <c r="D62" s="362"/>
      <c r="E62" s="361">
        <f>E61-E64</f>
        <v>30</v>
      </c>
      <c r="F62" s="362"/>
      <c r="G62" s="361">
        <f>G61-G64</f>
        <v>36</v>
      </c>
      <c r="H62" s="362"/>
      <c r="I62" s="361">
        <f>I61-I64</f>
        <v>37</v>
      </c>
      <c r="J62" s="362"/>
      <c r="K62" s="361">
        <f>K61-K64</f>
        <v>42</v>
      </c>
      <c r="L62" s="362"/>
      <c r="M62" s="361">
        <f>M61-M64</f>
        <v>9</v>
      </c>
      <c r="N62" s="362"/>
      <c r="O62" s="361">
        <f>O61-O64</f>
        <v>39</v>
      </c>
      <c r="P62" s="362"/>
      <c r="Q62" s="361">
        <f>COUNTIF(S9:S57,"PASS")</f>
        <v>0</v>
      </c>
      <c r="R62" s="364"/>
      <c r="S62" s="362"/>
    </row>
    <row r="63" spans="1:19" ht="17.399999999999999">
      <c r="A63" s="381"/>
      <c r="B63" s="46" t="s">
        <v>76</v>
      </c>
      <c r="C63" s="363">
        <f>IF(C61=0,"",(C62/C61)*100)</f>
        <v>100</v>
      </c>
      <c r="D63" s="362"/>
      <c r="E63" s="363">
        <f>IF(E61=0,"",(E62/E61)*100)</f>
        <v>96.774193548387103</v>
      </c>
      <c r="F63" s="362"/>
      <c r="G63" s="363">
        <f>IF(G61=0,"",(G62/G61)*100)</f>
        <v>87.804878048780495</v>
      </c>
      <c r="H63" s="362"/>
      <c r="I63" s="363">
        <f>IF(I61=0,"",(I62/I61)*100)</f>
        <v>88.095238095238088</v>
      </c>
      <c r="J63" s="362"/>
      <c r="K63" s="363">
        <f>IF(K61=0,"",(K62/K61)*100)</f>
        <v>100</v>
      </c>
      <c r="L63" s="362"/>
      <c r="M63" s="363">
        <f>IF(M61=0,"",(M62/M61)*100)</f>
        <v>100</v>
      </c>
      <c r="N63" s="362"/>
      <c r="O63" s="363">
        <f>IF(O61=0,"",(O62/O61)*100)</f>
        <v>97.5</v>
      </c>
      <c r="P63" s="362"/>
      <c r="Q63" s="363">
        <f>IF(Q61=0,"",(Q62/Q61)*100)</f>
        <v>0</v>
      </c>
      <c r="R63" s="364"/>
      <c r="S63" s="362"/>
    </row>
    <row r="64" spans="1:19" ht="17.399999999999999">
      <c r="A64" s="381"/>
      <c r="B64" s="46" t="s">
        <v>77</v>
      </c>
      <c r="C64" s="361">
        <f>COUNTIFS(D9:D57,"&lt;=32",D9:D57,"&gt; 0")</f>
        <v>0</v>
      </c>
      <c r="D64" s="362"/>
      <c r="E64" s="361">
        <f>COUNTIFS(F9:F57,"&lt;=32",F9:F57,"&gt; 0")</f>
        <v>1</v>
      </c>
      <c r="F64" s="362"/>
      <c r="G64" s="361">
        <f>COUNTIFS(H9:H57,"&lt;=32",H9:H57,"&gt; 0")</f>
        <v>5</v>
      </c>
      <c r="H64" s="362"/>
      <c r="I64" s="361">
        <f>COUNTIFS(J9:J57,"&lt;=32",J9:J57,"&gt; 0")</f>
        <v>5</v>
      </c>
      <c r="J64" s="362"/>
      <c r="K64" s="361">
        <f>COUNTIFS(L9:L57,"&lt;=32",L9:L57,"&gt; 0")</f>
        <v>0</v>
      </c>
      <c r="L64" s="362"/>
      <c r="M64" s="361">
        <f>COUNTIFS(N9:N57,"&lt;=32",N9:N57,"&gt; 0")</f>
        <v>0</v>
      </c>
      <c r="N64" s="362"/>
      <c r="O64" s="361">
        <f>COUNTIFS(P9:P57,"&lt;=32",P9:P57,"&gt; 0")</f>
        <v>1</v>
      </c>
      <c r="P64" s="362"/>
      <c r="Q64" s="361">
        <f>COUNTIFS(R9:R57,"&lt;=32",R9:R57,"&gt; 0")</f>
        <v>1</v>
      </c>
      <c r="R64" s="364"/>
      <c r="S64" s="362"/>
    </row>
    <row r="65" spans="1:19" ht="17.399999999999999">
      <c r="A65" s="381"/>
      <c r="B65" s="46" t="s">
        <v>78</v>
      </c>
      <c r="C65" s="361">
        <f>COUNTIFS(D9:D57,"&gt;=32.1",D9:D57,"&lt;=44")</f>
        <v>2</v>
      </c>
      <c r="D65" s="362"/>
      <c r="E65" s="361">
        <f>COUNTIFS(F9:F57,"&gt;=32.1",F9:F57,"&lt;=44")</f>
        <v>2</v>
      </c>
      <c r="F65" s="362"/>
      <c r="G65" s="361">
        <f>COUNTIFS(H9:H57,"&gt;=32.1",H9:H57,"&lt;=44")</f>
        <v>14</v>
      </c>
      <c r="H65" s="362"/>
      <c r="I65" s="361">
        <f>COUNTIFS(J9:J57,"&gt;=32.1",J9:J57,"&lt;=44")</f>
        <v>4</v>
      </c>
      <c r="J65" s="362"/>
      <c r="K65" s="361">
        <f>COUNTIFS(L9:L57,"&gt;=32.1",L9:L57,"&lt;=44")</f>
        <v>5</v>
      </c>
      <c r="L65" s="362"/>
      <c r="M65" s="361">
        <f>COUNTIFS(N9:N57,"&gt;=32.1",N9:N57,"&lt;=44")</f>
        <v>4</v>
      </c>
      <c r="N65" s="362"/>
      <c r="O65" s="361">
        <f>COUNTIFS(P9:P57,"&gt;=32.1",P9:P57,"&lt;=44")</f>
        <v>5</v>
      </c>
      <c r="P65" s="362"/>
      <c r="Q65" s="361">
        <f>COUNTIFS(R9:R57,"&gt;=32.1",R9:R57,"&lt;=44")</f>
        <v>5</v>
      </c>
      <c r="R65" s="364"/>
      <c r="S65" s="362"/>
    </row>
    <row r="66" spans="1:19" ht="17.399999999999999">
      <c r="A66" s="381"/>
      <c r="B66" s="46" t="s">
        <v>79</v>
      </c>
      <c r="C66" s="361">
        <f>COUNTIFS(D9:D57,"&gt;=44.1",D9:D57,"&lt;=59")</f>
        <v>4</v>
      </c>
      <c r="D66" s="362"/>
      <c r="E66" s="361">
        <f>COUNTIFS(F9:F57,"&gt;=44.1",F9:F57,"&lt;=59")</f>
        <v>3</v>
      </c>
      <c r="F66" s="362"/>
      <c r="G66" s="361">
        <f>COUNTIFS(H9:H57,"&gt;=44.1",H9:H57,"&lt;=59")</f>
        <v>9</v>
      </c>
      <c r="H66" s="362"/>
      <c r="I66" s="361">
        <f>COUNTIFS(J9:J57,"&gt;=44.1",J9:J57,"&lt;=59")</f>
        <v>2</v>
      </c>
      <c r="J66" s="362"/>
      <c r="K66" s="361">
        <f>COUNTIFS(L9:L57,"&gt;=44.1",L9:L57,"&lt;=59")</f>
        <v>4</v>
      </c>
      <c r="L66" s="362"/>
      <c r="M66" s="361">
        <f>COUNTIFS(N9:N57,"&gt;=44.1",N9:N57,"&lt;=59")</f>
        <v>3</v>
      </c>
      <c r="N66" s="362"/>
      <c r="O66" s="361">
        <f>COUNTIFS(P9:P57,"&gt;=44.1",P9:P57,"&lt;=59")</f>
        <v>13</v>
      </c>
      <c r="P66" s="362"/>
      <c r="Q66" s="361">
        <f>COUNTIFS(R9:R57,"&gt;=44.1",R9:R57,"&lt;=59")</f>
        <v>6</v>
      </c>
      <c r="R66" s="364"/>
      <c r="S66" s="362"/>
    </row>
    <row r="67" spans="1:19" ht="17.399999999999999">
      <c r="A67" s="381"/>
      <c r="B67" s="46" t="s">
        <v>80</v>
      </c>
      <c r="C67" s="361">
        <f>COUNTIFS(D9:D57,"&gt;=59.1",D9:D57,"&lt;=74")</f>
        <v>14</v>
      </c>
      <c r="D67" s="362"/>
      <c r="E67" s="361">
        <f>COUNTIFS(F9:F57,"&gt;=59.1",F9:F57,"&lt;=74")</f>
        <v>8</v>
      </c>
      <c r="F67" s="362"/>
      <c r="G67" s="361">
        <f>COUNTIFS(H9:H57,"&gt;=59.1",H9:H57,"&lt;=74")</f>
        <v>5</v>
      </c>
      <c r="H67" s="362"/>
      <c r="I67" s="361">
        <f>COUNTIFS(J9:J57,"&gt;=59.1",J9:J57,"&lt;=74")</f>
        <v>8</v>
      </c>
      <c r="J67" s="362"/>
      <c r="K67" s="361">
        <f>COUNTIFS(L9:L57,"&gt;=59.1",L9:L57,"&lt;=74")</f>
        <v>6</v>
      </c>
      <c r="L67" s="362"/>
      <c r="M67" s="361">
        <f>COUNTIFS(N9:N57,"&gt;=59.1",N9:N57,"&lt;=74")</f>
        <v>1</v>
      </c>
      <c r="N67" s="362"/>
      <c r="O67" s="361">
        <f>COUNTIFS(P9:P57,"&gt;=59.1",P9:P57,"&lt;=74")</f>
        <v>12</v>
      </c>
      <c r="P67" s="362"/>
      <c r="Q67" s="361">
        <f>COUNTIFS(R9:R57,"&gt;=59.1",R9:R57,"&lt;=74")</f>
        <v>10</v>
      </c>
      <c r="R67" s="364"/>
      <c r="S67" s="362"/>
    </row>
    <row r="68" spans="1:19" ht="17.399999999999999">
      <c r="A68" s="381"/>
      <c r="B68" s="46" t="s">
        <v>81</v>
      </c>
      <c r="C68" s="361">
        <f>COUNTIFS(D9:D57,"&gt;=74.1",D9:D57,"&lt;89")</f>
        <v>18</v>
      </c>
      <c r="D68" s="362"/>
      <c r="E68" s="361">
        <f>COUNTIFS(F9:F57,"&gt;=74.1",F9:F57,"&lt;89")</f>
        <v>10</v>
      </c>
      <c r="F68" s="362"/>
      <c r="G68" s="361">
        <f>COUNTIFS(H9:H57,"&gt;=74.1",H9:H57,"&lt;89")</f>
        <v>5</v>
      </c>
      <c r="H68" s="362"/>
      <c r="I68" s="361">
        <f>COUNTIFS(J9:J57,"&gt;=74.1",J9:J57,"&lt;89")</f>
        <v>14</v>
      </c>
      <c r="J68" s="362"/>
      <c r="K68" s="361">
        <f>COUNTIFS(L9:L57,"&gt;=74.1",L9:L57,"&lt;89")</f>
        <v>15</v>
      </c>
      <c r="L68" s="362"/>
      <c r="M68" s="361">
        <f>COUNTIFS(N9:N57,"&gt;=74.1",N9:N57,"&lt;89")</f>
        <v>1</v>
      </c>
      <c r="N68" s="362"/>
      <c r="O68" s="361">
        <f>COUNTIFS(P9:P57,"&gt;=74.1",P9:P57,"&lt;89")</f>
        <v>7</v>
      </c>
      <c r="P68" s="362"/>
      <c r="Q68" s="361">
        <f>COUNTIFS(R9:R57,"&gt;=74.1",R9:R57,"&lt;89")</f>
        <v>14</v>
      </c>
      <c r="R68" s="364"/>
      <c r="S68" s="362"/>
    </row>
    <row r="69" spans="1:19" ht="17.399999999999999">
      <c r="A69" s="382"/>
      <c r="B69" s="48" t="s">
        <v>82</v>
      </c>
      <c r="C69" s="370">
        <f>COUNTIF(D9:D57,"&gt;=89.1")</f>
        <v>2</v>
      </c>
      <c r="D69" s="371"/>
      <c r="E69" s="370">
        <f>COUNTIF(F9:F57,"&gt;=89.1")</f>
        <v>7</v>
      </c>
      <c r="F69" s="371"/>
      <c r="G69" s="370">
        <f>COUNTIF(H9:H57,"&gt;=89.1")</f>
        <v>3</v>
      </c>
      <c r="H69" s="371"/>
      <c r="I69" s="370">
        <f>COUNTIF(J9:J57,"&gt;=89.1")</f>
        <v>9</v>
      </c>
      <c r="J69" s="371"/>
      <c r="K69" s="370">
        <f>COUNTIF(L9:L57,"&gt;=89.1")</f>
        <v>12</v>
      </c>
      <c r="L69" s="371"/>
      <c r="M69" s="370">
        <f>COUNTIF(N9:N57,"&gt;=89.1")</f>
        <v>0</v>
      </c>
      <c r="N69" s="371"/>
      <c r="O69" s="370">
        <f>COUNTIF(P9:P57,"&gt;=89.1")</f>
        <v>2</v>
      </c>
      <c r="P69" s="371"/>
      <c r="Q69" s="361">
        <f>COUNTIF(R9:R57,"&gt;=89.1")</f>
        <v>2</v>
      </c>
      <c r="R69" s="364"/>
      <c r="S69" s="362"/>
    </row>
    <row r="70" spans="1:19" ht="17.399999999999999">
      <c r="A70" s="388" t="s">
        <v>83</v>
      </c>
      <c r="B70" s="364"/>
      <c r="C70" s="372"/>
      <c r="D70" s="362"/>
      <c r="E70" s="372"/>
      <c r="F70" s="362"/>
      <c r="G70" s="372"/>
      <c r="H70" s="362"/>
      <c r="I70" s="372"/>
      <c r="J70" s="362"/>
      <c r="K70" s="372"/>
      <c r="L70" s="362"/>
      <c r="M70" s="372"/>
      <c r="N70" s="362"/>
      <c r="O70" s="372"/>
      <c r="P70" s="362"/>
      <c r="Q70" s="367" t="s">
        <v>84</v>
      </c>
      <c r="R70" s="364"/>
      <c r="S70" s="82">
        <f>IF(Q61=0,"",Q60/Q61*100)</f>
        <v>0</v>
      </c>
    </row>
    <row r="71" spans="1:19" ht="17.399999999999999">
      <c r="A71" s="389" t="s">
        <v>85</v>
      </c>
      <c r="B71" s="369"/>
      <c r="C71" s="390"/>
      <c r="D71" s="369"/>
      <c r="E71" s="369"/>
      <c r="F71" s="369"/>
      <c r="G71" s="369"/>
      <c r="H71" s="369"/>
      <c r="I71" s="369"/>
      <c r="J71" s="369"/>
      <c r="K71" s="369"/>
      <c r="L71" s="369"/>
      <c r="M71" s="368" t="s">
        <v>86</v>
      </c>
      <c r="N71" s="369"/>
      <c r="O71" s="369"/>
      <c r="P71" s="369"/>
      <c r="Q71" s="369"/>
      <c r="R71" s="369"/>
      <c r="S71" s="369"/>
    </row>
  </sheetData>
  <mergeCells count="123"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A58:B58"/>
    <mergeCell ref="A59:A69"/>
    <mergeCell ref="E59:F59"/>
    <mergeCell ref="G59:H59"/>
    <mergeCell ref="I59:J59"/>
    <mergeCell ref="K59:L59"/>
    <mergeCell ref="K60:L60"/>
    <mergeCell ref="K62:L62"/>
    <mergeCell ref="C63:D63"/>
    <mergeCell ref="E63:F63"/>
    <mergeCell ref="G63:H63"/>
    <mergeCell ref="I63:J63"/>
    <mergeCell ref="K63:L63"/>
    <mergeCell ref="K64:L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I69:J69"/>
    <mergeCell ref="K69:L69"/>
    <mergeCell ref="A70:B70"/>
    <mergeCell ref="C70:D70"/>
    <mergeCell ref="E70:F70"/>
    <mergeCell ref="G70:H70"/>
    <mergeCell ref="I70:J70"/>
    <mergeCell ref="K70:L70"/>
    <mergeCell ref="A71:B71"/>
    <mergeCell ref="C71:L71"/>
    <mergeCell ref="M71:S71"/>
    <mergeCell ref="C59:D59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C64:D64"/>
    <mergeCell ref="E64:F64"/>
    <mergeCell ref="G64:H64"/>
    <mergeCell ref="I64:J64"/>
    <mergeCell ref="M64:N64"/>
    <mergeCell ref="O64:P64"/>
    <mergeCell ref="Q64:S64"/>
    <mergeCell ref="O65:P65"/>
    <mergeCell ref="Q65:S65"/>
    <mergeCell ref="K68:L68"/>
    <mergeCell ref="C69:D69"/>
    <mergeCell ref="E69:F69"/>
    <mergeCell ref="G69:H69"/>
    <mergeCell ref="M65:N65"/>
    <mergeCell ref="M66:N66"/>
    <mergeCell ref="O66:P66"/>
    <mergeCell ref="Q66:S66"/>
    <mergeCell ref="M67:N67"/>
    <mergeCell ref="O67:P67"/>
    <mergeCell ref="Q67:S67"/>
    <mergeCell ref="O70:P70"/>
    <mergeCell ref="Q70:R70"/>
    <mergeCell ref="M68:N68"/>
    <mergeCell ref="O68:P68"/>
    <mergeCell ref="Q68:S68"/>
    <mergeCell ref="M69:N69"/>
    <mergeCell ref="O69:P69"/>
    <mergeCell ref="Q69:S69"/>
    <mergeCell ref="M70:N70"/>
    <mergeCell ref="M63:N63"/>
    <mergeCell ref="O63:P63"/>
    <mergeCell ref="Q63:S63"/>
    <mergeCell ref="G60:H60"/>
    <mergeCell ref="I60:J60"/>
    <mergeCell ref="M60:N60"/>
    <mergeCell ref="O60:P60"/>
    <mergeCell ref="Q60:S60"/>
    <mergeCell ref="O61:P61"/>
    <mergeCell ref="Q61:S61"/>
    <mergeCell ref="M59:N59"/>
    <mergeCell ref="O59:P59"/>
    <mergeCell ref="Q59:S59"/>
    <mergeCell ref="C60:D60"/>
    <mergeCell ref="E60:F60"/>
    <mergeCell ref="M61:N61"/>
    <mergeCell ref="M62:N62"/>
    <mergeCell ref="O62:P62"/>
    <mergeCell ref="Q62:S62"/>
    <mergeCell ref="K6:L6"/>
    <mergeCell ref="M6:N6"/>
    <mergeCell ref="O6:P6"/>
    <mergeCell ref="Q6:R6"/>
    <mergeCell ref="S6:S8"/>
    <mergeCell ref="A4:B4"/>
    <mergeCell ref="A6:A8"/>
    <mergeCell ref="B6:B8"/>
    <mergeCell ref="C6:D6"/>
    <mergeCell ref="E6:F6"/>
    <mergeCell ref="G6:H6"/>
    <mergeCell ref="I6:J6"/>
    <mergeCell ref="E4:J4"/>
    <mergeCell ref="K4:S4"/>
    <mergeCell ref="A1:S1"/>
    <mergeCell ref="A2:S2"/>
    <mergeCell ref="A3:D3"/>
    <mergeCell ref="E3:J3"/>
    <mergeCell ref="K3:S3"/>
    <mergeCell ref="C4:D4"/>
    <mergeCell ref="A5:S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S63"/>
  <sheetViews>
    <sheetView workbookViewId="0"/>
  </sheetViews>
  <sheetFormatPr defaultColWidth="12.6640625" defaultRowHeight="15.75" customHeight="1"/>
  <cols>
    <col min="2" max="2" width="23.109375" customWidth="1"/>
  </cols>
  <sheetData>
    <row r="1" spans="1:19" ht="15.75" customHeight="1">
      <c r="A1" s="410" t="s">
        <v>87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</row>
    <row r="2" spans="1:19" ht="15.75" customHeight="1">
      <c r="A2" s="411" t="s">
        <v>0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</row>
    <row r="3" spans="1:19" ht="15.75" customHeight="1">
      <c r="A3" s="373" t="s">
        <v>0</v>
      </c>
      <c r="B3" s="366"/>
      <c r="C3" s="366"/>
      <c r="D3" s="366"/>
      <c r="E3" s="409" t="s">
        <v>1</v>
      </c>
      <c r="F3" s="366"/>
      <c r="G3" s="366"/>
      <c r="H3" s="366"/>
      <c r="I3" s="366"/>
      <c r="J3" s="366"/>
      <c r="K3" s="366"/>
      <c r="L3" s="366"/>
      <c r="M3" s="412" t="s">
        <v>614</v>
      </c>
      <c r="N3" s="366"/>
      <c r="O3" s="366"/>
      <c r="P3" s="366"/>
      <c r="Q3" s="366"/>
      <c r="R3" s="366"/>
      <c r="S3" s="366"/>
    </row>
    <row r="4" spans="1:19" ht="15.75" customHeight="1">
      <c r="A4" s="383" t="s">
        <v>141</v>
      </c>
      <c r="B4" s="366"/>
      <c r="C4" s="413" t="s">
        <v>615</v>
      </c>
      <c r="D4" s="366"/>
      <c r="E4" s="409" t="s">
        <v>4</v>
      </c>
      <c r="F4" s="366"/>
      <c r="G4" s="366"/>
      <c r="H4" s="366"/>
      <c r="I4" s="366"/>
      <c r="J4" s="366"/>
      <c r="K4" s="366"/>
      <c r="L4" s="366"/>
      <c r="M4" s="374" t="s">
        <v>5</v>
      </c>
      <c r="N4" s="366"/>
      <c r="O4" s="366"/>
      <c r="P4" s="366"/>
      <c r="Q4" s="366"/>
      <c r="R4" s="366"/>
      <c r="S4" s="366"/>
    </row>
    <row r="5" spans="1:19" ht="15.75" customHeight="1">
      <c r="A5" s="377" t="s">
        <v>616</v>
      </c>
      <c r="B5" s="378"/>
      <c r="C5" s="378"/>
      <c r="D5" s="378"/>
      <c r="E5" s="378"/>
      <c r="F5" s="378"/>
      <c r="G5" s="378"/>
      <c r="H5" s="378"/>
      <c r="I5" s="378"/>
      <c r="J5" s="378"/>
      <c r="K5" s="378"/>
      <c r="L5" s="378"/>
      <c r="M5" s="378"/>
      <c r="N5" s="378"/>
      <c r="O5" s="378"/>
      <c r="P5" s="378"/>
      <c r="Q5" s="378"/>
      <c r="R5" s="378"/>
      <c r="S5" s="378"/>
    </row>
    <row r="6" spans="1:19">
      <c r="A6" s="384" t="s">
        <v>7</v>
      </c>
      <c r="B6" s="415" t="s">
        <v>8</v>
      </c>
      <c r="C6" s="367" t="s">
        <v>9</v>
      </c>
      <c r="D6" s="362"/>
      <c r="E6" s="367" t="s">
        <v>10</v>
      </c>
      <c r="F6" s="362"/>
      <c r="G6" s="367" t="s">
        <v>14</v>
      </c>
      <c r="H6" s="362"/>
      <c r="I6" s="367" t="s">
        <v>11</v>
      </c>
      <c r="J6" s="362"/>
      <c r="K6" s="367" t="s">
        <v>12</v>
      </c>
      <c r="L6" s="362"/>
      <c r="M6" s="367" t="s">
        <v>13</v>
      </c>
      <c r="N6" s="362"/>
      <c r="O6" s="414" t="s">
        <v>617</v>
      </c>
      <c r="P6" s="362"/>
      <c r="Q6" s="367" t="s">
        <v>15</v>
      </c>
      <c r="R6" s="362"/>
      <c r="S6" s="384" t="s">
        <v>16</v>
      </c>
    </row>
    <row r="7" spans="1:19">
      <c r="A7" s="381"/>
      <c r="B7" s="416"/>
      <c r="C7" s="180" t="s">
        <v>17</v>
      </c>
      <c r="D7" s="181">
        <v>40</v>
      </c>
      <c r="E7" s="180" t="s">
        <v>17</v>
      </c>
      <c r="F7" s="181">
        <v>40</v>
      </c>
      <c r="G7" s="180" t="s">
        <v>17</v>
      </c>
      <c r="H7" s="181">
        <v>40</v>
      </c>
      <c r="I7" s="180" t="s">
        <v>17</v>
      </c>
      <c r="J7" s="181">
        <v>40</v>
      </c>
      <c r="K7" s="180" t="s">
        <v>17</v>
      </c>
      <c r="L7" s="181">
        <v>40</v>
      </c>
      <c r="M7" s="180" t="s">
        <v>17</v>
      </c>
      <c r="N7" s="181">
        <v>40</v>
      </c>
      <c r="O7" s="180" t="s">
        <v>17</v>
      </c>
      <c r="P7" s="181">
        <v>40</v>
      </c>
      <c r="Q7" s="180" t="s">
        <v>17</v>
      </c>
      <c r="R7" s="181">
        <v>600</v>
      </c>
      <c r="S7" s="381"/>
    </row>
    <row r="8" spans="1:19">
      <c r="A8" s="382"/>
      <c r="B8" s="417"/>
      <c r="C8" s="6" t="s">
        <v>18</v>
      </c>
      <c r="D8" s="6" t="s">
        <v>19</v>
      </c>
      <c r="E8" s="6" t="s">
        <v>18</v>
      </c>
      <c r="F8" s="6" t="s">
        <v>19</v>
      </c>
      <c r="G8" s="6" t="s">
        <v>18</v>
      </c>
      <c r="H8" s="6" t="s">
        <v>19</v>
      </c>
      <c r="I8" s="6" t="s">
        <v>18</v>
      </c>
      <c r="J8" s="6" t="s">
        <v>19</v>
      </c>
      <c r="K8" s="6" t="s">
        <v>18</v>
      </c>
      <c r="L8" s="6" t="s">
        <v>19</v>
      </c>
      <c r="M8" s="6" t="s">
        <v>18</v>
      </c>
      <c r="N8" s="6" t="s">
        <v>19</v>
      </c>
      <c r="O8" s="6" t="s">
        <v>18</v>
      </c>
      <c r="P8" s="6" t="s">
        <v>19</v>
      </c>
      <c r="Q8" s="6" t="s">
        <v>18</v>
      </c>
      <c r="R8" s="6" t="s">
        <v>19</v>
      </c>
      <c r="S8" s="382"/>
    </row>
    <row r="9" spans="1:19" ht="15.75" customHeight="1">
      <c r="A9" s="222">
        <v>1</v>
      </c>
      <c r="B9" s="223" t="s">
        <v>618</v>
      </c>
      <c r="C9" s="207">
        <v>37</v>
      </c>
      <c r="D9" s="224">
        <f t="shared" ref="D9:D44" si="0">IF(C9="","",IF(C9="AB",AB,IF(C9="TC","TC",(C9/D$7)*100)))</f>
        <v>92.5</v>
      </c>
      <c r="E9" s="207">
        <v>37</v>
      </c>
      <c r="F9" s="203">
        <f t="shared" ref="F9:F44" si="1">IF(E9="","",IF(E9="AB",AB,IF(E9="TC","TC",(E9/F$7)*100)))</f>
        <v>92.5</v>
      </c>
      <c r="G9" s="225"/>
      <c r="H9" s="225" t="str">
        <f t="shared" ref="H9:H44" si="2">IF(G9="","",IF(G9="AB",AB,IF(G9="TC","TC",(G9/H$7)*100)))</f>
        <v/>
      </c>
      <c r="I9" s="207">
        <v>36</v>
      </c>
      <c r="J9" s="203">
        <f t="shared" ref="J9:J44" si="3">IF(I9="","",IF(I9="AB",AB,IF(I9="TC","TC",(I9/J$7)*100)))</f>
        <v>90</v>
      </c>
      <c r="K9" s="207">
        <v>39</v>
      </c>
      <c r="L9" s="203">
        <f t="shared" ref="L9:L44" si="4">IF(K9="","",IF(K9="AB",AB,IF(K9="TC","TC",(K9/L$7)*100)))</f>
        <v>97.5</v>
      </c>
      <c r="M9" s="226">
        <v>39</v>
      </c>
      <c r="N9" s="203">
        <f t="shared" ref="N9:N44" si="5">IF(M9="","",IF(M9="AB",AB,IF(M9="TC","TC",(M9/N$7)*100)))</f>
        <v>97.5</v>
      </c>
      <c r="O9" s="226">
        <v>35</v>
      </c>
      <c r="P9" s="203">
        <f t="shared" ref="P9:P34" si="6">IF(O9="","",IF(O9="AB",AB,IF(O9="TC","TC",(O9/P$7)*100)))</f>
        <v>87.5</v>
      </c>
      <c r="Q9" s="203">
        <f t="shared" ref="Q9:Q13" si="7">SUM(D9,F9,H9,J9,L9,N9,P9)</f>
        <v>557.5</v>
      </c>
      <c r="R9" s="227">
        <f t="shared" ref="R9:R44" si="8">IF(Q9="","",IF(Q9="AB","AB",(Q9/R$7)*100))</f>
        <v>92.916666666666671</v>
      </c>
      <c r="S9" s="225"/>
    </row>
    <row r="10" spans="1:19" ht="15.75" customHeight="1">
      <c r="A10" s="222">
        <v>2</v>
      </c>
      <c r="B10" s="228" t="s">
        <v>619</v>
      </c>
      <c r="C10" s="207">
        <v>37</v>
      </c>
      <c r="D10" s="224">
        <f t="shared" si="0"/>
        <v>92.5</v>
      </c>
      <c r="E10" s="207">
        <v>38</v>
      </c>
      <c r="F10" s="203">
        <f t="shared" si="1"/>
        <v>95</v>
      </c>
      <c r="G10" s="225"/>
      <c r="H10" s="225" t="str">
        <f t="shared" si="2"/>
        <v/>
      </c>
      <c r="I10" s="207">
        <v>39</v>
      </c>
      <c r="J10" s="203">
        <f t="shared" si="3"/>
        <v>97.5</v>
      </c>
      <c r="K10" s="207">
        <v>39</v>
      </c>
      <c r="L10" s="203">
        <f t="shared" si="4"/>
        <v>97.5</v>
      </c>
      <c r="M10" s="226">
        <v>38</v>
      </c>
      <c r="N10" s="203">
        <f t="shared" si="5"/>
        <v>95</v>
      </c>
      <c r="O10" s="226">
        <v>29</v>
      </c>
      <c r="P10" s="203">
        <f t="shared" si="6"/>
        <v>72.5</v>
      </c>
      <c r="Q10" s="203">
        <f t="shared" si="7"/>
        <v>550</v>
      </c>
      <c r="R10" s="227">
        <f t="shared" si="8"/>
        <v>91.666666666666657</v>
      </c>
      <c r="S10" s="225"/>
    </row>
    <row r="11" spans="1:19" ht="15.75" customHeight="1">
      <c r="A11" s="222">
        <v>3</v>
      </c>
      <c r="B11" s="228" t="s">
        <v>620</v>
      </c>
      <c r="C11" s="207">
        <v>30</v>
      </c>
      <c r="D11" s="224">
        <f t="shared" si="0"/>
        <v>75</v>
      </c>
      <c r="E11" s="207">
        <v>32</v>
      </c>
      <c r="F11" s="203">
        <f t="shared" si="1"/>
        <v>80</v>
      </c>
      <c r="G11" s="225"/>
      <c r="H11" s="225" t="str">
        <f t="shared" si="2"/>
        <v/>
      </c>
      <c r="I11" s="207">
        <v>38</v>
      </c>
      <c r="J11" s="203">
        <f t="shared" si="3"/>
        <v>95</v>
      </c>
      <c r="K11" s="207">
        <v>36</v>
      </c>
      <c r="L11" s="203">
        <f t="shared" si="4"/>
        <v>90</v>
      </c>
      <c r="M11" s="226">
        <v>37</v>
      </c>
      <c r="N11" s="203">
        <f t="shared" si="5"/>
        <v>92.5</v>
      </c>
      <c r="O11" s="226">
        <v>26</v>
      </c>
      <c r="P11" s="203">
        <f t="shared" si="6"/>
        <v>65</v>
      </c>
      <c r="Q11" s="203">
        <f t="shared" si="7"/>
        <v>497.5</v>
      </c>
      <c r="R11" s="227">
        <f t="shared" si="8"/>
        <v>82.916666666666671</v>
      </c>
      <c r="S11" s="225"/>
    </row>
    <row r="12" spans="1:19" ht="15.75" customHeight="1">
      <c r="A12" s="222">
        <v>4</v>
      </c>
      <c r="B12" s="223" t="s">
        <v>621</v>
      </c>
      <c r="C12" s="207">
        <v>37</v>
      </c>
      <c r="D12" s="224">
        <f t="shared" si="0"/>
        <v>92.5</v>
      </c>
      <c r="E12" s="207">
        <v>36</v>
      </c>
      <c r="F12" s="203">
        <f t="shared" si="1"/>
        <v>90</v>
      </c>
      <c r="G12" s="225"/>
      <c r="H12" s="225" t="str">
        <f t="shared" si="2"/>
        <v/>
      </c>
      <c r="I12" s="207">
        <v>35</v>
      </c>
      <c r="J12" s="203">
        <f t="shared" si="3"/>
        <v>87.5</v>
      </c>
      <c r="K12" s="207">
        <v>39</v>
      </c>
      <c r="L12" s="203">
        <f t="shared" si="4"/>
        <v>97.5</v>
      </c>
      <c r="M12" s="226">
        <v>38</v>
      </c>
      <c r="N12" s="203">
        <f t="shared" si="5"/>
        <v>95</v>
      </c>
      <c r="O12" s="226">
        <v>37</v>
      </c>
      <c r="P12" s="203">
        <f t="shared" si="6"/>
        <v>92.5</v>
      </c>
      <c r="Q12" s="203">
        <f t="shared" si="7"/>
        <v>555</v>
      </c>
      <c r="R12" s="227">
        <f t="shared" si="8"/>
        <v>92.5</v>
      </c>
      <c r="S12" s="225"/>
    </row>
    <row r="13" spans="1:19" ht="15.75" customHeight="1">
      <c r="A13" s="222">
        <v>5</v>
      </c>
      <c r="B13" s="228" t="s">
        <v>622</v>
      </c>
      <c r="C13" s="207">
        <v>28</v>
      </c>
      <c r="D13" s="224">
        <f t="shared" si="0"/>
        <v>70</v>
      </c>
      <c r="E13" s="207">
        <v>20</v>
      </c>
      <c r="F13" s="203">
        <f t="shared" si="1"/>
        <v>50</v>
      </c>
      <c r="G13" s="225"/>
      <c r="H13" s="225" t="str">
        <f t="shared" si="2"/>
        <v/>
      </c>
      <c r="I13" s="207">
        <v>26</v>
      </c>
      <c r="J13" s="203">
        <f t="shared" si="3"/>
        <v>65</v>
      </c>
      <c r="K13" s="207">
        <v>27</v>
      </c>
      <c r="L13" s="203">
        <f t="shared" si="4"/>
        <v>67.5</v>
      </c>
      <c r="M13" s="226">
        <v>29</v>
      </c>
      <c r="N13" s="203">
        <f t="shared" si="5"/>
        <v>72.5</v>
      </c>
      <c r="O13" s="226">
        <v>18</v>
      </c>
      <c r="P13" s="203">
        <f t="shared" si="6"/>
        <v>45</v>
      </c>
      <c r="Q13" s="203">
        <f t="shared" si="7"/>
        <v>370</v>
      </c>
      <c r="R13" s="229">
        <f t="shared" si="8"/>
        <v>61.666666666666671</v>
      </c>
      <c r="S13" s="225"/>
    </row>
    <row r="14" spans="1:19" ht="15.75" customHeight="1">
      <c r="A14" s="222">
        <v>6</v>
      </c>
      <c r="B14" s="228" t="s">
        <v>623</v>
      </c>
      <c r="C14" s="207">
        <v>34</v>
      </c>
      <c r="D14" s="224">
        <f t="shared" si="0"/>
        <v>85</v>
      </c>
      <c r="E14" s="207">
        <v>32</v>
      </c>
      <c r="F14" s="203">
        <f t="shared" si="1"/>
        <v>80</v>
      </c>
      <c r="G14" s="225"/>
      <c r="H14" s="225" t="str">
        <f t="shared" si="2"/>
        <v/>
      </c>
      <c r="I14" s="207">
        <v>34</v>
      </c>
      <c r="J14" s="203">
        <f t="shared" si="3"/>
        <v>85</v>
      </c>
      <c r="K14" s="207">
        <v>35</v>
      </c>
      <c r="L14" s="203">
        <f t="shared" si="4"/>
        <v>87.5</v>
      </c>
      <c r="M14" s="226">
        <v>28</v>
      </c>
      <c r="N14" s="203">
        <f t="shared" si="5"/>
        <v>70</v>
      </c>
      <c r="O14" s="226" t="s">
        <v>24</v>
      </c>
      <c r="P14" s="203" t="e">
        <f t="shared" si="6"/>
        <v>#NAME?</v>
      </c>
      <c r="Q14" s="203">
        <f t="shared" ref="Q14:Q16" si="9">SUM(D14,F14,H14,J14,L14,N14,P15)</f>
        <v>495</v>
      </c>
      <c r="R14" s="227">
        <f t="shared" si="8"/>
        <v>82.5</v>
      </c>
      <c r="S14" s="225"/>
    </row>
    <row r="15" spans="1:19" ht="15.75" customHeight="1">
      <c r="A15" s="222">
        <v>7</v>
      </c>
      <c r="B15" s="228" t="s">
        <v>624</v>
      </c>
      <c r="C15" s="207">
        <v>30</v>
      </c>
      <c r="D15" s="224">
        <f t="shared" si="0"/>
        <v>75</v>
      </c>
      <c r="E15" s="207">
        <v>29</v>
      </c>
      <c r="F15" s="203">
        <f t="shared" si="1"/>
        <v>72.5</v>
      </c>
      <c r="G15" s="225"/>
      <c r="H15" s="225" t="str">
        <f t="shared" si="2"/>
        <v/>
      </c>
      <c r="I15" s="207">
        <v>37</v>
      </c>
      <c r="J15" s="203">
        <f t="shared" si="3"/>
        <v>92.5</v>
      </c>
      <c r="K15" s="207">
        <v>34</v>
      </c>
      <c r="L15" s="203">
        <f t="shared" si="4"/>
        <v>85</v>
      </c>
      <c r="M15" s="207">
        <v>32</v>
      </c>
      <c r="N15" s="203">
        <f t="shared" si="5"/>
        <v>80</v>
      </c>
      <c r="O15" s="226">
        <v>35</v>
      </c>
      <c r="P15" s="203">
        <f t="shared" si="6"/>
        <v>87.5</v>
      </c>
      <c r="Q15" s="203">
        <f t="shared" si="9"/>
        <v>487.5</v>
      </c>
      <c r="R15" s="227">
        <f t="shared" si="8"/>
        <v>81.25</v>
      </c>
      <c r="S15" s="225"/>
    </row>
    <row r="16" spans="1:19" ht="15.75" customHeight="1">
      <c r="A16" s="222">
        <v>8</v>
      </c>
      <c r="B16" s="223" t="s">
        <v>625</v>
      </c>
      <c r="C16" s="207">
        <v>32</v>
      </c>
      <c r="D16" s="224">
        <f t="shared" si="0"/>
        <v>80</v>
      </c>
      <c r="E16" s="207">
        <v>33</v>
      </c>
      <c r="F16" s="203">
        <f t="shared" si="1"/>
        <v>82.5</v>
      </c>
      <c r="G16" s="225"/>
      <c r="H16" s="225" t="str">
        <f t="shared" si="2"/>
        <v/>
      </c>
      <c r="I16" s="207">
        <v>34</v>
      </c>
      <c r="J16" s="203">
        <f t="shared" si="3"/>
        <v>85</v>
      </c>
      <c r="K16" s="207">
        <v>38</v>
      </c>
      <c r="L16" s="203">
        <f t="shared" si="4"/>
        <v>95</v>
      </c>
      <c r="M16" s="207">
        <v>34</v>
      </c>
      <c r="N16" s="203">
        <f t="shared" si="5"/>
        <v>85</v>
      </c>
      <c r="O16" s="226">
        <v>33</v>
      </c>
      <c r="P16" s="203">
        <f t="shared" si="6"/>
        <v>82.5</v>
      </c>
      <c r="Q16" s="203">
        <f t="shared" si="9"/>
        <v>520</v>
      </c>
      <c r="R16" s="227">
        <f t="shared" si="8"/>
        <v>86.666666666666671</v>
      </c>
      <c r="S16" s="225"/>
    </row>
    <row r="17" spans="1:19" ht="15.75" customHeight="1">
      <c r="A17" s="222">
        <v>9</v>
      </c>
      <c r="B17" s="228" t="s">
        <v>626</v>
      </c>
      <c r="C17" s="207">
        <v>36</v>
      </c>
      <c r="D17" s="224">
        <f t="shared" si="0"/>
        <v>90</v>
      </c>
      <c r="E17" s="207">
        <v>38</v>
      </c>
      <c r="F17" s="203">
        <f t="shared" si="1"/>
        <v>95</v>
      </c>
      <c r="G17" s="225"/>
      <c r="H17" s="225" t="str">
        <f t="shared" si="2"/>
        <v/>
      </c>
      <c r="I17" s="207">
        <v>39</v>
      </c>
      <c r="J17" s="203">
        <f t="shared" si="3"/>
        <v>97.5</v>
      </c>
      <c r="K17" s="207">
        <v>39</v>
      </c>
      <c r="L17" s="203">
        <f t="shared" si="4"/>
        <v>97.5</v>
      </c>
      <c r="M17" s="226">
        <v>38</v>
      </c>
      <c r="N17" s="203">
        <f t="shared" si="5"/>
        <v>95</v>
      </c>
      <c r="O17" s="226">
        <v>37</v>
      </c>
      <c r="P17" s="203">
        <f t="shared" si="6"/>
        <v>92.5</v>
      </c>
      <c r="Q17" s="203">
        <f t="shared" ref="Q17:Q44" si="10">SUM(D17,F17,H17,J17,L17,N17,P17)</f>
        <v>567.5</v>
      </c>
      <c r="R17" s="227">
        <f t="shared" si="8"/>
        <v>94.583333333333329</v>
      </c>
      <c r="S17" s="225"/>
    </row>
    <row r="18" spans="1:19" ht="15.75" customHeight="1">
      <c r="A18" s="222">
        <v>10</v>
      </c>
      <c r="B18" s="228" t="s">
        <v>627</v>
      </c>
      <c r="C18" s="207">
        <v>21</v>
      </c>
      <c r="D18" s="224">
        <f t="shared" si="0"/>
        <v>52.5</v>
      </c>
      <c r="E18" s="207">
        <v>24</v>
      </c>
      <c r="F18" s="203">
        <f t="shared" si="1"/>
        <v>60</v>
      </c>
      <c r="G18" s="225"/>
      <c r="H18" s="225" t="str">
        <f t="shared" si="2"/>
        <v/>
      </c>
      <c r="I18" s="207">
        <v>26</v>
      </c>
      <c r="J18" s="203">
        <f t="shared" si="3"/>
        <v>65</v>
      </c>
      <c r="K18" s="207">
        <v>18</v>
      </c>
      <c r="L18" s="203">
        <f t="shared" si="4"/>
        <v>45</v>
      </c>
      <c r="M18" s="226">
        <v>22</v>
      </c>
      <c r="N18" s="203">
        <f t="shared" si="5"/>
        <v>55.000000000000007</v>
      </c>
      <c r="O18" s="226" t="s">
        <v>24</v>
      </c>
      <c r="P18" s="203" t="e">
        <f t="shared" si="6"/>
        <v>#NAME?</v>
      </c>
      <c r="Q18" s="203" t="e">
        <f t="shared" si="10"/>
        <v>#NAME?</v>
      </c>
      <c r="R18" s="227" t="e">
        <f t="shared" si="8"/>
        <v>#NAME?</v>
      </c>
      <c r="S18" s="225"/>
    </row>
    <row r="19" spans="1:19" ht="15.75" customHeight="1">
      <c r="A19" s="222">
        <v>11</v>
      </c>
      <c r="B19" s="228" t="s">
        <v>628</v>
      </c>
      <c r="C19" s="207">
        <v>30</v>
      </c>
      <c r="D19" s="224">
        <f t="shared" si="0"/>
        <v>75</v>
      </c>
      <c r="E19" s="207">
        <v>32</v>
      </c>
      <c r="F19" s="203">
        <f t="shared" si="1"/>
        <v>80</v>
      </c>
      <c r="G19" s="225"/>
      <c r="H19" s="225" t="str">
        <f t="shared" si="2"/>
        <v/>
      </c>
      <c r="I19" s="207">
        <v>32</v>
      </c>
      <c r="J19" s="203">
        <f t="shared" si="3"/>
        <v>80</v>
      </c>
      <c r="K19" s="207">
        <v>36</v>
      </c>
      <c r="L19" s="203">
        <f t="shared" si="4"/>
        <v>90</v>
      </c>
      <c r="M19" s="226">
        <v>35</v>
      </c>
      <c r="N19" s="203">
        <f t="shared" si="5"/>
        <v>87.5</v>
      </c>
      <c r="O19" s="226">
        <v>28</v>
      </c>
      <c r="P19" s="203">
        <f t="shared" si="6"/>
        <v>70</v>
      </c>
      <c r="Q19" s="203">
        <f t="shared" si="10"/>
        <v>482.5</v>
      </c>
      <c r="R19" s="227">
        <f t="shared" si="8"/>
        <v>80.416666666666671</v>
      </c>
      <c r="S19" s="225"/>
    </row>
    <row r="20" spans="1:19" ht="15.75" customHeight="1">
      <c r="A20" s="222">
        <v>12</v>
      </c>
      <c r="B20" s="228" t="s">
        <v>629</v>
      </c>
      <c r="C20" s="207">
        <v>21</v>
      </c>
      <c r="D20" s="224">
        <f t="shared" si="0"/>
        <v>52.5</v>
      </c>
      <c r="E20" s="207">
        <v>23</v>
      </c>
      <c r="F20" s="203">
        <f t="shared" si="1"/>
        <v>57.499999999999993</v>
      </c>
      <c r="G20" s="225"/>
      <c r="H20" s="225" t="str">
        <f t="shared" si="2"/>
        <v/>
      </c>
      <c r="I20" s="207">
        <v>36</v>
      </c>
      <c r="J20" s="203">
        <f t="shared" si="3"/>
        <v>90</v>
      </c>
      <c r="K20" s="207">
        <v>28</v>
      </c>
      <c r="L20" s="203">
        <f t="shared" si="4"/>
        <v>70</v>
      </c>
      <c r="M20" s="226">
        <v>30</v>
      </c>
      <c r="N20" s="203">
        <f t="shared" si="5"/>
        <v>75</v>
      </c>
      <c r="O20" s="226">
        <v>13</v>
      </c>
      <c r="P20" s="203">
        <f t="shared" si="6"/>
        <v>32.5</v>
      </c>
      <c r="Q20" s="203">
        <f t="shared" si="10"/>
        <v>377.5</v>
      </c>
      <c r="R20" s="227">
        <f t="shared" si="8"/>
        <v>62.916666666666664</v>
      </c>
      <c r="S20" s="225"/>
    </row>
    <row r="21" spans="1:19" ht="15.75" customHeight="1">
      <c r="A21" s="222">
        <v>13</v>
      </c>
      <c r="B21" s="228" t="s">
        <v>630</v>
      </c>
      <c r="C21" s="207">
        <v>34</v>
      </c>
      <c r="D21" s="224">
        <f t="shared" si="0"/>
        <v>85</v>
      </c>
      <c r="E21" s="207">
        <v>34</v>
      </c>
      <c r="F21" s="203">
        <f t="shared" si="1"/>
        <v>85</v>
      </c>
      <c r="G21" s="225"/>
      <c r="H21" s="225" t="str">
        <f t="shared" si="2"/>
        <v/>
      </c>
      <c r="I21" s="207">
        <v>31</v>
      </c>
      <c r="J21" s="203">
        <f t="shared" si="3"/>
        <v>77.5</v>
      </c>
      <c r="K21" s="207">
        <v>33</v>
      </c>
      <c r="L21" s="203">
        <f t="shared" si="4"/>
        <v>82.5</v>
      </c>
      <c r="M21" s="226">
        <v>35</v>
      </c>
      <c r="N21" s="203">
        <f t="shared" si="5"/>
        <v>87.5</v>
      </c>
      <c r="O21" s="226">
        <v>34</v>
      </c>
      <c r="P21" s="203">
        <f t="shared" si="6"/>
        <v>85</v>
      </c>
      <c r="Q21" s="203">
        <f t="shared" si="10"/>
        <v>502.5</v>
      </c>
      <c r="R21" s="227">
        <f t="shared" si="8"/>
        <v>83.75</v>
      </c>
      <c r="S21" s="225"/>
    </row>
    <row r="22" spans="1:19" ht="15.75" customHeight="1">
      <c r="A22" s="222">
        <v>14</v>
      </c>
      <c r="B22" s="228" t="s">
        <v>631</v>
      </c>
      <c r="C22" s="207">
        <v>31</v>
      </c>
      <c r="D22" s="224">
        <f t="shared" si="0"/>
        <v>77.5</v>
      </c>
      <c r="E22" s="207">
        <v>22</v>
      </c>
      <c r="F22" s="203">
        <f t="shared" si="1"/>
        <v>55.000000000000007</v>
      </c>
      <c r="G22" s="225"/>
      <c r="H22" s="225" t="str">
        <f t="shared" si="2"/>
        <v/>
      </c>
      <c r="I22" s="207">
        <v>23</v>
      </c>
      <c r="J22" s="203">
        <f t="shared" si="3"/>
        <v>57.499999999999993</v>
      </c>
      <c r="K22" s="207">
        <v>25</v>
      </c>
      <c r="L22" s="203">
        <f t="shared" si="4"/>
        <v>62.5</v>
      </c>
      <c r="M22" s="226">
        <v>31</v>
      </c>
      <c r="N22" s="203">
        <f t="shared" si="5"/>
        <v>77.5</v>
      </c>
      <c r="O22" s="226">
        <v>23</v>
      </c>
      <c r="P22" s="203">
        <f t="shared" si="6"/>
        <v>57.499999999999993</v>
      </c>
      <c r="Q22" s="203">
        <f t="shared" si="10"/>
        <v>387.5</v>
      </c>
      <c r="R22" s="227">
        <f t="shared" si="8"/>
        <v>64.583333333333343</v>
      </c>
      <c r="S22" s="225"/>
    </row>
    <row r="23" spans="1:19" ht="15.75" customHeight="1">
      <c r="A23" s="222">
        <v>15</v>
      </c>
      <c r="B23" s="223" t="s">
        <v>632</v>
      </c>
      <c r="C23" s="230">
        <v>34</v>
      </c>
      <c r="D23" s="224">
        <f t="shared" si="0"/>
        <v>85</v>
      </c>
      <c r="E23" s="207">
        <v>36</v>
      </c>
      <c r="F23" s="203">
        <f t="shared" si="1"/>
        <v>90</v>
      </c>
      <c r="G23" s="225"/>
      <c r="H23" s="225" t="str">
        <f t="shared" si="2"/>
        <v/>
      </c>
      <c r="I23" s="207">
        <v>38</v>
      </c>
      <c r="J23" s="203">
        <f t="shared" si="3"/>
        <v>95</v>
      </c>
      <c r="K23" s="207">
        <v>39</v>
      </c>
      <c r="L23" s="203">
        <f t="shared" si="4"/>
        <v>97.5</v>
      </c>
      <c r="M23" s="226">
        <v>38</v>
      </c>
      <c r="N23" s="203">
        <f t="shared" si="5"/>
        <v>95</v>
      </c>
      <c r="O23" s="226">
        <v>35</v>
      </c>
      <c r="P23" s="203">
        <f t="shared" si="6"/>
        <v>87.5</v>
      </c>
      <c r="Q23" s="203">
        <f t="shared" si="10"/>
        <v>550</v>
      </c>
      <c r="R23" s="227">
        <f t="shared" si="8"/>
        <v>91.666666666666657</v>
      </c>
      <c r="S23" s="225"/>
    </row>
    <row r="24" spans="1:19" ht="15.75" customHeight="1">
      <c r="A24" s="222">
        <v>16</v>
      </c>
      <c r="B24" s="228" t="s">
        <v>633</v>
      </c>
      <c r="C24" s="207">
        <v>28</v>
      </c>
      <c r="D24" s="224">
        <f t="shared" si="0"/>
        <v>70</v>
      </c>
      <c r="E24" s="207">
        <v>30</v>
      </c>
      <c r="F24" s="203">
        <f t="shared" si="1"/>
        <v>75</v>
      </c>
      <c r="G24" s="225"/>
      <c r="H24" s="225" t="str">
        <f t="shared" si="2"/>
        <v/>
      </c>
      <c r="I24" s="231">
        <v>17</v>
      </c>
      <c r="J24" s="203">
        <f t="shared" si="3"/>
        <v>42.5</v>
      </c>
      <c r="K24" s="207">
        <v>34</v>
      </c>
      <c r="L24" s="203">
        <f t="shared" si="4"/>
        <v>85</v>
      </c>
      <c r="M24" s="226">
        <v>31</v>
      </c>
      <c r="N24" s="203">
        <f t="shared" si="5"/>
        <v>77.5</v>
      </c>
      <c r="O24" s="226">
        <v>20</v>
      </c>
      <c r="P24" s="203">
        <f t="shared" si="6"/>
        <v>50</v>
      </c>
      <c r="Q24" s="203">
        <f t="shared" si="10"/>
        <v>400</v>
      </c>
      <c r="R24" s="227">
        <f t="shared" si="8"/>
        <v>66.666666666666657</v>
      </c>
      <c r="S24" s="225"/>
    </row>
    <row r="25" spans="1:19" ht="15.75" customHeight="1">
      <c r="A25" s="222">
        <v>17</v>
      </c>
      <c r="B25" s="228" t="s">
        <v>634</v>
      </c>
      <c r="C25" s="207" t="s">
        <v>24</v>
      </c>
      <c r="D25" s="224" t="e">
        <f t="shared" si="0"/>
        <v>#NAME?</v>
      </c>
      <c r="E25" s="207">
        <v>26</v>
      </c>
      <c r="F25" s="203">
        <f t="shared" si="1"/>
        <v>65</v>
      </c>
      <c r="G25" s="225"/>
      <c r="H25" s="225" t="str">
        <f t="shared" si="2"/>
        <v/>
      </c>
      <c r="I25" s="207">
        <v>30</v>
      </c>
      <c r="J25" s="203">
        <f t="shared" si="3"/>
        <v>75</v>
      </c>
      <c r="K25" s="207">
        <v>34</v>
      </c>
      <c r="L25" s="203">
        <f t="shared" si="4"/>
        <v>85</v>
      </c>
      <c r="M25" s="207">
        <v>33</v>
      </c>
      <c r="N25" s="203">
        <f t="shared" si="5"/>
        <v>82.5</v>
      </c>
      <c r="O25" s="226">
        <v>38</v>
      </c>
      <c r="P25" s="203">
        <f t="shared" si="6"/>
        <v>95</v>
      </c>
      <c r="Q25" s="203" t="e">
        <f t="shared" si="10"/>
        <v>#NAME?</v>
      </c>
      <c r="R25" s="227" t="e">
        <f t="shared" si="8"/>
        <v>#NAME?</v>
      </c>
      <c r="S25" s="225"/>
    </row>
    <row r="26" spans="1:19" ht="15.75" customHeight="1">
      <c r="A26" s="222">
        <v>18</v>
      </c>
      <c r="B26" s="228" t="s">
        <v>635</v>
      </c>
      <c r="C26" s="207">
        <v>28</v>
      </c>
      <c r="D26" s="224">
        <f t="shared" si="0"/>
        <v>70</v>
      </c>
      <c r="E26" s="207">
        <v>26</v>
      </c>
      <c r="F26" s="203">
        <f t="shared" si="1"/>
        <v>65</v>
      </c>
      <c r="G26" s="225"/>
      <c r="H26" s="225" t="str">
        <f t="shared" si="2"/>
        <v/>
      </c>
      <c r="I26" s="207">
        <v>20</v>
      </c>
      <c r="J26" s="185">
        <f t="shared" si="3"/>
        <v>50</v>
      </c>
      <c r="K26" s="207">
        <v>19</v>
      </c>
      <c r="L26" s="203">
        <f t="shared" si="4"/>
        <v>47.5</v>
      </c>
      <c r="M26" s="207">
        <v>21</v>
      </c>
      <c r="N26" s="185">
        <f t="shared" si="5"/>
        <v>52.5</v>
      </c>
      <c r="O26" s="226">
        <v>5</v>
      </c>
      <c r="P26" s="203">
        <f t="shared" si="6"/>
        <v>12.5</v>
      </c>
      <c r="Q26" s="203">
        <f t="shared" si="10"/>
        <v>297.5</v>
      </c>
      <c r="R26" s="229">
        <f t="shared" si="8"/>
        <v>49.583333333333336</v>
      </c>
      <c r="S26" s="225"/>
    </row>
    <row r="27" spans="1:19" ht="17.399999999999999">
      <c r="A27" s="222">
        <v>19</v>
      </c>
      <c r="B27" s="228" t="s">
        <v>636</v>
      </c>
      <c r="C27" s="207">
        <v>27</v>
      </c>
      <c r="D27" s="224">
        <f t="shared" si="0"/>
        <v>67.5</v>
      </c>
      <c r="E27" s="207">
        <v>20</v>
      </c>
      <c r="F27" s="203">
        <f t="shared" si="1"/>
        <v>50</v>
      </c>
      <c r="G27" s="225"/>
      <c r="H27" s="225" t="str">
        <f t="shared" si="2"/>
        <v/>
      </c>
      <c r="I27" s="207">
        <v>25</v>
      </c>
      <c r="J27" s="203">
        <f t="shared" si="3"/>
        <v>62.5</v>
      </c>
      <c r="K27" s="207">
        <v>26</v>
      </c>
      <c r="L27" s="203">
        <f t="shared" si="4"/>
        <v>65</v>
      </c>
      <c r="M27" s="226">
        <v>32</v>
      </c>
      <c r="N27" s="203">
        <f t="shared" si="5"/>
        <v>80</v>
      </c>
      <c r="O27" s="226" t="s">
        <v>24</v>
      </c>
      <c r="P27" s="203" t="e">
        <f t="shared" si="6"/>
        <v>#NAME?</v>
      </c>
      <c r="Q27" s="203" t="e">
        <f t="shared" si="10"/>
        <v>#NAME?</v>
      </c>
      <c r="R27" s="227" t="e">
        <f t="shared" si="8"/>
        <v>#NAME?</v>
      </c>
      <c r="S27" s="225"/>
    </row>
    <row r="28" spans="1:19" ht="17.399999999999999">
      <c r="A28" s="222">
        <v>20</v>
      </c>
      <c r="B28" s="228" t="s">
        <v>637</v>
      </c>
      <c r="C28" s="207">
        <v>26</v>
      </c>
      <c r="D28" s="224">
        <f t="shared" si="0"/>
        <v>65</v>
      </c>
      <c r="E28" s="207">
        <v>20</v>
      </c>
      <c r="F28" s="203">
        <f t="shared" si="1"/>
        <v>50</v>
      </c>
      <c r="G28" s="225"/>
      <c r="H28" s="225" t="str">
        <f t="shared" si="2"/>
        <v/>
      </c>
      <c r="I28" s="207">
        <v>26</v>
      </c>
      <c r="J28" s="203">
        <f t="shared" si="3"/>
        <v>65</v>
      </c>
      <c r="K28" s="207">
        <v>35</v>
      </c>
      <c r="L28" s="203">
        <f t="shared" si="4"/>
        <v>87.5</v>
      </c>
      <c r="M28" s="226">
        <v>28</v>
      </c>
      <c r="N28" s="203">
        <f t="shared" si="5"/>
        <v>70</v>
      </c>
      <c r="O28" s="226">
        <v>22</v>
      </c>
      <c r="P28" s="203">
        <f t="shared" si="6"/>
        <v>55.000000000000007</v>
      </c>
      <c r="Q28" s="203">
        <f t="shared" si="10"/>
        <v>392.5</v>
      </c>
      <c r="R28" s="227">
        <f t="shared" si="8"/>
        <v>65.416666666666671</v>
      </c>
      <c r="S28" s="225"/>
    </row>
    <row r="29" spans="1:19" ht="17.399999999999999">
      <c r="A29" s="222">
        <v>21</v>
      </c>
      <c r="B29" s="228" t="s">
        <v>638</v>
      </c>
      <c r="C29" s="207">
        <v>29</v>
      </c>
      <c r="D29" s="224">
        <f t="shared" si="0"/>
        <v>72.5</v>
      </c>
      <c r="E29" s="207">
        <v>25</v>
      </c>
      <c r="F29" s="203">
        <f t="shared" si="1"/>
        <v>62.5</v>
      </c>
      <c r="G29" s="225"/>
      <c r="H29" s="225" t="str">
        <f t="shared" si="2"/>
        <v/>
      </c>
      <c r="I29" s="207">
        <v>18</v>
      </c>
      <c r="J29" s="203">
        <f t="shared" si="3"/>
        <v>45</v>
      </c>
      <c r="K29" s="207">
        <v>23</v>
      </c>
      <c r="L29" s="203">
        <f t="shared" si="4"/>
        <v>57.499999999999993</v>
      </c>
      <c r="M29" s="207">
        <v>29</v>
      </c>
      <c r="N29" s="203">
        <f t="shared" si="5"/>
        <v>72.5</v>
      </c>
      <c r="O29" s="226">
        <v>17</v>
      </c>
      <c r="P29" s="203">
        <f t="shared" si="6"/>
        <v>42.5</v>
      </c>
      <c r="Q29" s="203">
        <f t="shared" si="10"/>
        <v>352.5</v>
      </c>
      <c r="R29" s="227">
        <f t="shared" si="8"/>
        <v>58.75</v>
      </c>
      <c r="S29" s="225"/>
    </row>
    <row r="30" spans="1:19" ht="17.399999999999999">
      <c r="A30" s="222">
        <v>22</v>
      </c>
      <c r="B30" s="228" t="s">
        <v>639</v>
      </c>
      <c r="C30" s="207">
        <v>26</v>
      </c>
      <c r="D30" s="224">
        <f t="shared" si="0"/>
        <v>65</v>
      </c>
      <c r="E30" s="225"/>
      <c r="F30" s="232" t="str">
        <f t="shared" si="1"/>
        <v/>
      </c>
      <c r="G30" s="207">
        <v>39</v>
      </c>
      <c r="H30" s="207">
        <f t="shared" si="2"/>
        <v>97.5</v>
      </c>
      <c r="I30" s="207">
        <v>29</v>
      </c>
      <c r="J30" s="203">
        <f t="shared" si="3"/>
        <v>72.5</v>
      </c>
      <c r="K30" s="207">
        <v>28</v>
      </c>
      <c r="L30" s="203">
        <f t="shared" si="4"/>
        <v>70</v>
      </c>
      <c r="M30" s="226" t="s">
        <v>24</v>
      </c>
      <c r="N30" s="203" t="e">
        <f t="shared" si="5"/>
        <v>#NAME?</v>
      </c>
      <c r="O30" s="232">
        <v>10</v>
      </c>
      <c r="P30" s="232">
        <f t="shared" si="6"/>
        <v>25</v>
      </c>
      <c r="Q30" s="203" t="e">
        <f t="shared" si="10"/>
        <v>#NAME?</v>
      </c>
      <c r="R30" s="227" t="e">
        <f t="shared" si="8"/>
        <v>#NAME?</v>
      </c>
      <c r="S30" s="225"/>
    </row>
    <row r="31" spans="1:19" ht="17.399999999999999">
      <c r="A31" s="222">
        <v>23</v>
      </c>
      <c r="B31" s="228" t="s">
        <v>640</v>
      </c>
      <c r="C31" s="207">
        <v>36</v>
      </c>
      <c r="D31" s="224">
        <f t="shared" si="0"/>
        <v>90</v>
      </c>
      <c r="E31" s="225"/>
      <c r="F31" s="232" t="str">
        <f t="shared" si="1"/>
        <v/>
      </c>
      <c r="G31" s="207">
        <v>40</v>
      </c>
      <c r="H31" s="207">
        <f t="shared" si="2"/>
        <v>100</v>
      </c>
      <c r="I31" s="207">
        <v>38</v>
      </c>
      <c r="J31" s="203">
        <f t="shared" si="3"/>
        <v>95</v>
      </c>
      <c r="K31" s="207">
        <v>39</v>
      </c>
      <c r="L31" s="203">
        <f t="shared" si="4"/>
        <v>97.5</v>
      </c>
      <c r="M31" s="207">
        <v>38</v>
      </c>
      <c r="N31" s="203">
        <f t="shared" si="5"/>
        <v>95</v>
      </c>
      <c r="O31" s="226">
        <v>39</v>
      </c>
      <c r="P31" s="203">
        <f t="shared" si="6"/>
        <v>97.5</v>
      </c>
      <c r="Q31" s="203">
        <f t="shared" si="10"/>
        <v>575</v>
      </c>
      <c r="R31" s="227">
        <f t="shared" si="8"/>
        <v>95.833333333333343</v>
      </c>
      <c r="S31" s="225"/>
    </row>
    <row r="32" spans="1:19" ht="17.399999999999999">
      <c r="A32" s="222">
        <v>24</v>
      </c>
      <c r="B32" s="223" t="s">
        <v>641</v>
      </c>
      <c r="C32" s="207">
        <v>23</v>
      </c>
      <c r="D32" s="224">
        <f t="shared" si="0"/>
        <v>57.499999999999993</v>
      </c>
      <c r="E32" s="225"/>
      <c r="F32" s="232" t="str">
        <f t="shared" si="1"/>
        <v/>
      </c>
      <c r="G32" s="170">
        <v>21</v>
      </c>
      <c r="H32" s="207">
        <f t="shared" si="2"/>
        <v>52.5</v>
      </c>
      <c r="I32" s="233">
        <v>31</v>
      </c>
      <c r="J32" s="203">
        <f t="shared" si="3"/>
        <v>77.5</v>
      </c>
      <c r="K32" s="207">
        <v>35</v>
      </c>
      <c r="L32" s="203">
        <f t="shared" si="4"/>
        <v>87.5</v>
      </c>
      <c r="M32" s="226">
        <v>29</v>
      </c>
      <c r="N32" s="203">
        <f t="shared" si="5"/>
        <v>72.5</v>
      </c>
      <c r="O32" s="226">
        <v>6</v>
      </c>
      <c r="P32" s="203">
        <f t="shared" si="6"/>
        <v>15</v>
      </c>
      <c r="Q32" s="203">
        <f t="shared" si="10"/>
        <v>362.5</v>
      </c>
      <c r="R32" s="227">
        <f t="shared" si="8"/>
        <v>60.416666666666664</v>
      </c>
      <c r="S32" s="225"/>
    </row>
    <row r="33" spans="1:19" ht="17.399999999999999">
      <c r="A33" s="222">
        <v>25</v>
      </c>
      <c r="B33" s="228" t="s">
        <v>642</v>
      </c>
      <c r="C33" s="207">
        <v>34</v>
      </c>
      <c r="D33" s="224">
        <f t="shared" si="0"/>
        <v>85</v>
      </c>
      <c r="E33" s="225"/>
      <c r="F33" s="232" t="str">
        <f t="shared" si="1"/>
        <v/>
      </c>
      <c r="G33" s="207">
        <v>35</v>
      </c>
      <c r="H33" s="207">
        <f t="shared" si="2"/>
        <v>87.5</v>
      </c>
      <c r="I33" s="207">
        <v>34</v>
      </c>
      <c r="J33" s="203">
        <f t="shared" si="3"/>
        <v>85</v>
      </c>
      <c r="K33" s="207">
        <v>38</v>
      </c>
      <c r="L33" s="203">
        <f t="shared" si="4"/>
        <v>95</v>
      </c>
      <c r="M33" s="207">
        <v>37</v>
      </c>
      <c r="N33" s="203">
        <f t="shared" si="5"/>
        <v>92.5</v>
      </c>
      <c r="O33" s="226">
        <v>34</v>
      </c>
      <c r="P33" s="203">
        <f t="shared" si="6"/>
        <v>85</v>
      </c>
      <c r="Q33" s="203">
        <f t="shared" si="10"/>
        <v>530</v>
      </c>
      <c r="R33" s="227">
        <f t="shared" si="8"/>
        <v>88.333333333333329</v>
      </c>
      <c r="S33" s="225"/>
    </row>
    <row r="34" spans="1:19" ht="17.399999999999999">
      <c r="A34" s="222">
        <v>26</v>
      </c>
      <c r="B34" s="228" t="s">
        <v>643</v>
      </c>
      <c r="C34" s="207">
        <v>21</v>
      </c>
      <c r="D34" s="224">
        <f t="shared" si="0"/>
        <v>52.5</v>
      </c>
      <c r="E34" s="225"/>
      <c r="F34" s="232" t="str">
        <f t="shared" si="1"/>
        <v/>
      </c>
      <c r="G34" s="79">
        <v>40</v>
      </c>
      <c r="H34" s="207">
        <f t="shared" si="2"/>
        <v>100</v>
      </c>
      <c r="I34" s="231">
        <v>27</v>
      </c>
      <c r="J34" s="203">
        <f t="shared" si="3"/>
        <v>67.5</v>
      </c>
      <c r="K34" s="207">
        <v>33</v>
      </c>
      <c r="L34" s="203">
        <f t="shared" si="4"/>
        <v>82.5</v>
      </c>
      <c r="M34" s="226">
        <v>36</v>
      </c>
      <c r="N34" s="203">
        <f t="shared" si="5"/>
        <v>90</v>
      </c>
      <c r="O34" s="226">
        <v>18</v>
      </c>
      <c r="P34" s="203">
        <f t="shared" si="6"/>
        <v>45</v>
      </c>
      <c r="Q34" s="203">
        <f t="shared" si="10"/>
        <v>437.5</v>
      </c>
      <c r="R34" s="227">
        <f t="shared" si="8"/>
        <v>72.916666666666657</v>
      </c>
      <c r="S34" s="225"/>
    </row>
    <row r="35" spans="1:19" ht="17.399999999999999">
      <c r="A35" s="222">
        <v>27</v>
      </c>
      <c r="B35" s="228" t="s">
        <v>644</v>
      </c>
      <c r="C35" s="207" t="s">
        <v>24</v>
      </c>
      <c r="D35" s="224" t="e">
        <f t="shared" si="0"/>
        <v>#NAME?</v>
      </c>
      <c r="E35" s="225"/>
      <c r="F35" s="232" t="str">
        <f t="shared" si="1"/>
        <v/>
      </c>
      <c r="G35" s="207" t="s">
        <v>24</v>
      </c>
      <c r="H35" s="207" t="e">
        <f t="shared" si="2"/>
        <v>#NAME?</v>
      </c>
      <c r="I35" s="207" t="s">
        <v>123</v>
      </c>
      <c r="J35" s="203" t="e">
        <f t="shared" si="3"/>
        <v>#NAME?</v>
      </c>
      <c r="K35" s="207" t="s">
        <v>24</v>
      </c>
      <c r="L35" s="203" t="e">
        <f t="shared" si="4"/>
        <v>#NAME?</v>
      </c>
      <c r="M35" s="207" t="s">
        <v>24</v>
      </c>
      <c r="N35" s="203" t="e">
        <f t="shared" si="5"/>
        <v>#NAME?</v>
      </c>
      <c r="O35" s="226"/>
      <c r="P35" s="203" t="s">
        <v>24</v>
      </c>
      <c r="Q35" s="203" t="e">
        <f t="shared" si="10"/>
        <v>#NAME?</v>
      </c>
      <c r="R35" s="227" t="e">
        <f t="shared" si="8"/>
        <v>#NAME?</v>
      </c>
      <c r="S35" s="225"/>
    </row>
    <row r="36" spans="1:19" ht="17.399999999999999">
      <c r="A36" s="222">
        <v>28</v>
      </c>
      <c r="B36" s="228" t="s">
        <v>645</v>
      </c>
      <c r="C36" s="207">
        <v>34</v>
      </c>
      <c r="D36" s="224">
        <f t="shared" si="0"/>
        <v>85</v>
      </c>
      <c r="E36" s="225"/>
      <c r="F36" s="232" t="str">
        <f t="shared" si="1"/>
        <v/>
      </c>
      <c r="G36" s="207">
        <v>40</v>
      </c>
      <c r="H36" s="207">
        <f t="shared" si="2"/>
        <v>100</v>
      </c>
      <c r="I36" s="207">
        <v>37</v>
      </c>
      <c r="J36" s="203">
        <f t="shared" si="3"/>
        <v>92.5</v>
      </c>
      <c r="K36" s="207">
        <v>40</v>
      </c>
      <c r="L36" s="203">
        <f t="shared" si="4"/>
        <v>100</v>
      </c>
      <c r="M36" s="207">
        <v>37</v>
      </c>
      <c r="N36" s="203">
        <f t="shared" si="5"/>
        <v>92.5</v>
      </c>
      <c r="O36" s="226">
        <v>37</v>
      </c>
      <c r="P36" s="203">
        <f t="shared" ref="P36:P44" si="11">IF(O36="","",IF(O36="AB",AB,IF(O36="TC","TC",(O36/P$7)*100)))</f>
        <v>92.5</v>
      </c>
      <c r="Q36" s="203">
        <f t="shared" si="10"/>
        <v>562.5</v>
      </c>
      <c r="R36" s="227">
        <f t="shared" si="8"/>
        <v>93.75</v>
      </c>
      <c r="S36" s="225"/>
    </row>
    <row r="37" spans="1:19" ht="17.399999999999999">
      <c r="A37" s="222">
        <v>29</v>
      </c>
      <c r="B37" s="228" t="s">
        <v>646</v>
      </c>
      <c r="C37" s="207">
        <v>30</v>
      </c>
      <c r="D37" s="224">
        <f t="shared" si="0"/>
        <v>75</v>
      </c>
      <c r="E37" s="225"/>
      <c r="F37" s="232" t="str">
        <f t="shared" si="1"/>
        <v/>
      </c>
      <c r="G37" s="207">
        <v>40</v>
      </c>
      <c r="H37" s="207">
        <f t="shared" si="2"/>
        <v>100</v>
      </c>
      <c r="I37" s="207">
        <v>31</v>
      </c>
      <c r="J37" s="203">
        <f t="shared" si="3"/>
        <v>77.5</v>
      </c>
      <c r="K37" s="207">
        <v>22</v>
      </c>
      <c r="L37" s="203">
        <f t="shared" si="4"/>
        <v>55.000000000000007</v>
      </c>
      <c r="M37" s="207">
        <v>35</v>
      </c>
      <c r="N37" s="203">
        <f t="shared" si="5"/>
        <v>87.5</v>
      </c>
      <c r="O37" s="226">
        <v>35</v>
      </c>
      <c r="P37" s="203">
        <f t="shared" si="11"/>
        <v>87.5</v>
      </c>
      <c r="Q37" s="203">
        <f t="shared" si="10"/>
        <v>482.5</v>
      </c>
      <c r="R37" s="227">
        <f t="shared" si="8"/>
        <v>80.416666666666671</v>
      </c>
      <c r="S37" s="225"/>
    </row>
    <row r="38" spans="1:19" ht="17.399999999999999">
      <c r="A38" s="222">
        <v>30</v>
      </c>
      <c r="B38" s="228" t="s">
        <v>647</v>
      </c>
      <c r="C38" s="207">
        <v>23</v>
      </c>
      <c r="D38" s="224">
        <f t="shared" si="0"/>
        <v>57.499999999999993</v>
      </c>
      <c r="E38" s="225"/>
      <c r="F38" s="232" t="str">
        <f t="shared" si="1"/>
        <v/>
      </c>
      <c r="G38" s="207">
        <v>39</v>
      </c>
      <c r="H38" s="207">
        <f t="shared" si="2"/>
        <v>97.5</v>
      </c>
      <c r="I38" s="207">
        <v>32</v>
      </c>
      <c r="J38" s="203">
        <f t="shared" si="3"/>
        <v>80</v>
      </c>
      <c r="K38" s="207">
        <v>21</v>
      </c>
      <c r="L38" s="203">
        <f t="shared" si="4"/>
        <v>52.5</v>
      </c>
      <c r="M38" s="207">
        <v>30</v>
      </c>
      <c r="N38" s="203">
        <f t="shared" si="5"/>
        <v>75</v>
      </c>
      <c r="O38" s="232">
        <v>26</v>
      </c>
      <c r="P38" s="232">
        <f t="shared" si="11"/>
        <v>65</v>
      </c>
      <c r="Q38" s="203">
        <f t="shared" si="10"/>
        <v>427.5</v>
      </c>
      <c r="R38" s="227">
        <f t="shared" si="8"/>
        <v>71.25</v>
      </c>
      <c r="S38" s="225"/>
    </row>
    <row r="39" spans="1:19" ht="17.399999999999999">
      <c r="A39" s="222">
        <v>31</v>
      </c>
      <c r="B39" s="228" t="s">
        <v>648</v>
      </c>
      <c r="C39" s="207">
        <v>20</v>
      </c>
      <c r="D39" s="224">
        <f t="shared" si="0"/>
        <v>50</v>
      </c>
      <c r="E39" s="225"/>
      <c r="F39" s="232" t="str">
        <f t="shared" si="1"/>
        <v/>
      </c>
      <c r="G39" s="79">
        <v>34</v>
      </c>
      <c r="H39" s="207">
        <f t="shared" si="2"/>
        <v>85</v>
      </c>
      <c r="I39" s="207">
        <v>29</v>
      </c>
      <c r="J39" s="203">
        <f t="shared" si="3"/>
        <v>72.5</v>
      </c>
      <c r="K39" s="207">
        <v>22</v>
      </c>
      <c r="L39" s="203">
        <f t="shared" si="4"/>
        <v>55.000000000000007</v>
      </c>
      <c r="M39" s="207">
        <v>34</v>
      </c>
      <c r="N39" s="203">
        <f t="shared" si="5"/>
        <v>85</v>
      </c>
      <c r="O39" s="226" t="s">
        <v>24</v>
      </c>
      <c r="P39" s="203" t="e">
        <f t="shared" si="11"/>
        <v>#NAME?</v>
      </c>
      <c r="Q39" s="203" t="e">
        <f t="shared" si="10"/>
        <v>#NAME?</v>
      </c>
      <c r="R39" s="227" t="e">
        <f t="shared" si="8"/>
        <v>#NAME?</v>
      </c>
      <c r="S39" s="225"/>
    </row>
    <row r="40" spans="1:19" ht="17.399999999999999">
      <c r="A40" s="222">
        <v>32</v>
      </c>
      <c r="B40" s="228" t="s">
        <v>649</v>
      </c>
      <c r="C40" s="207">
        <v>32</v>
      </c>
      <c r="D40" s="224">
        <f t="shared" si="0"/>
        <v>80</v>
      </c>
      <c r="E40" s="225"/>
      <c r="F40" s="232" t="str">
        <f t="shared" si="1"/>
        <v/>
      </c>
      <c r="G40" s="207">
        <v>39</v>
      </c>
      <c r="H40" s="207">
        <f t="shared" si="2"/>
        <v>97.5</v>
      </c>
      <c r="I40" s="207">
        <v>21</v>
      </c>
      <c r="J40" s="203">
        <f t="shared" si="3"/>
        <v>52.5</v>
      </c>
      <c r="K40" s="207">
        <v>25</v>
      </c>
      <c r="L40" s="203">
        <f t="shared" si="4"/>
        <v>62.5</v>
      </c>
      <c r="M40" s="207">
        <v>35</v>
      </c>
      <c r="N40" s="203">
        <f t="shared" si="5"/>
        <v>87.5</v>
      </c>
      <c r="O40" s="226" t="s">
        <v>24</v>
      </c>
      <c r="P40" s="203" t="e">
        <f t="shared" si="11"/>
        <v>#NAME?</v>
      </c>
      <c r="Q40" s="203" t="e">
        <f t="shared" si="10"/>
        <v>#NAME?</v>
      </c>
      <c r="R40" s="227" t="e">
        <f t="shared" si="8"/>
        <v>#NAME?</v>
      </c>
      <c r="S40" s="225"/>
    </row>
    <row r="41" spans="1:19" ht="17.399999999999999">
      <c r="A41" s="222">
        <v>33</v>
      </c>
      <c r="B41" s="228" t="s">
        <v>650</v>
      </c>
      <c r="C41" s="207">
        <v>33</v>
      </c>
      <c r="D41" s="224">
        <f t="shared" si="0"/>
        <v>82.5</v>
      </c>
      <c r="E41" s="225"/>
      <c r="F41" s="232" t="str">
        <f t="shared" si="1"/>
        <v/>
      </c>
      <c r="G41" s="207">
        <v>40</v>
      </c>
      <c r="H41" s="207">
        <f t="shared" si="2"/>
        <v>100</v>
      </c>
      <c r="I41" s="207">
        <v>37</v>
      </c>
      <c r="J41" s="185">
        <f t="shared" si="3"/>
        <v>92.5</v>
      </c>
      <c r="K41" s="207">
        <v>36</v>
      </c>
      <c r="L41" s="203">
        <f t="shared" si="4"/>
        <v>90</v>
      </c>
      <c r="M41" s="207">
        <v>35</v>
      </c>
      <c r="N41" s="203">
        <f t="shared" si="5"/>
        <v>87.5</v>
      </c>
      <c r="O41" s="226" t="s">
        <v>24</v>
      </c>
      <c r="P41" s="203" t="e">
        <f t="shared" si="11"/>
        <v>#NAME?</v>
      </c>
      <c r="Q41" s="203" t="e">
        <f t="shared" si="10"/>
        <v>#NAME?</v>
      </c>
      <c r="R41" s="229" t="e">
        <f t="shared" si="8"/>
        <v>#NAME?</v>
      </c>
      <c r="S41" s="225"/>
    </row>
    <row r="42" spans="1:19" ht="17.399999999999999">
      <c r="A42" s="222">
        <v>34</v>
      </c>
      <c r="B42" s="223" t="s">
        <v>651</v>
      </c>
      <c r="C42" s="207">
        <v>35</v>
      </c>
      <c r="D42" s="224">
        <f t="shared" si="0"/>
        <v>87.5</v>
      </c>
      <c r="E42" s="225"/>
      <c r="F42" s="232" t="str">
        <f t="shared" si="1"/>
        <v/>
      </c>
      <c r="G42" s="207">
        <v>40</v>
      </c>
      <c r="H42" s="207">
        <f t="shared" si="2"/>
        <v>100</v>
      </c>
      <c r="I42" s="207">
        <v>34</v>
      </c>
      <c r="J42" s="203">
        <f t="shared" si="3"/>
        <v>85</v>
      </c>
      <c r="K42" s="207">
        <v>30</v>
      </c>
      <c r="L42" s="203">
        <f t="shared" si="4"/>
        <v>75</v>
      </c>
      <c r="M42" s="207">
        <v>34</v>
      </c>
      <c r="N42" s="203">
        <f t="shared" si="5"/>
        <v>85</v>
      </c>
      <c r="O42" s="226">
        <v>38</v>
      </c>
      <c r="P42" s="203">
        <f t="shared" si="11"/>
        <v>95</v>
      </c>
      <c r="Q42" s="203">
        <f t="shared" si="10"/>
        <v>527.5</v>
      </c>
      <c r="R42" s="227">
        <f t="shared" si="8"/>
        <v>87.916666666666671</v>
      </c>
      <c r="S42" s="225"/>
    </row>
    <row r="43" spans="1:19" ht="17.399999999999999">
      <c r="A43" s="222">
        <v>35</v>
      </c>
      <c r="B43" s="228" t="s">
        <v>652</v>
      </c>
      <c r="C43" s="207">
        <v>32</v>
      </c>
      <c r="D43" s="224">
        <f t="shared" si="0"/>
        <v>80</v>
      </c>
      <c r="E43" s="225"/>
      <c r="F43" s="232" t="str">
        <f t="shared" si="1"/>
        <v/>
      </c>
      <c r="G43" s="207">
        <v>40</v>
      </c>
      <c r="H43" s="207">
        <f t="shared" si="2"/>
        <v>100</v>
      </c>
      <c r="I43" s="207">
        <v>28</v>
      </c>
      <c r="J43" s="203">
        <f t="shared" si="3"/>
        <v>70</v>
      </c>
      <c r="K43" s="207">
        <v>29</v>
      </c>
      <c r="L43" s="203">
        <f t="shared" si="4"/>
        <v>72.5</v>
      </c>
      <c r="M43" s="207">
        <v>30</v>
      </c>
      <c r="N43" s="203">
        <f t="shared" si="5"/>
        <v>75</v>
      </c>
      <c r="O43" s="226">
        <v>30</v>
      </c>
      <c r="P43" s="203">
        <f t="shared" si="11"/>
        <v>75</v>
      </c>
      <c r="Q43" s="203">
        <f t="shared" si="10"/>
        <v>472.5</v>
      </c>
      <c r="R43" s="227">
        <f t="shared" si="8"/>
        <v>78.75</v>
      </c>
      <c r="S43" s="225"/>
    </row>
    <row r="44" spans="1:19" ht="17.399999999999999">
      <c r="A44" s="222">
        <v>36</v>
      </c>
      <c r="B44" s="228" t="s">
        <v>653</v>
      </c>
      <c r="C44" s="207">
        <v>17</v>
      </c>
      <c r="D44" s="224">
        <f t="shared" si="0"/>
        <v>42.5</v>
      </c>
      <c r="E44" s="225"/>
      <c r="F44" s="232" t="str">
        <f t="shared" si="1"/>
        <v/>
      </c>
      <c r="G44" s="207"/>
      <c r="H44" s="207" t="str">
        <f t="shared" si="2"/>
        <v/>
      </c>
      <c r="I44" s="207">
        <v>16</v>
      </c>
      <c r="J44" s="185">
        <f t="shared" si="3"/>
        <v>40</v>
      </c>
      <c r="K44" s="207">
        <v>17</v>
      </c>
      <c r="L44" s="203">
        <f t="shared" si="4"/>
        <v>42.5</v>
      </c>
      <c r="M44" s="207">
        <v>22</v>
      </c>
      <c r="N44" s="203">
        <f t="shared" si="5"/>
        <v>55.000000000000007</v>
      </c>
      <c r="O44" s="226" t="s">
        <v>24</v>
      </c>
      <c r="P44" s="203" t="e">
        <f t="shared" si="11"/>
        <v>#NAME?</v>
      </c>
      <c r="Q44" s="203" t="e">
        <f t="shared" si="10"/>
        <v>#NAME?</v>
      </c>
      <c r="R44" s="229" t="e">
        <f t="shared" si="8"/>
        <v>#NAME?</v>
      </c>
      <c r="S44" s="225"/>
    </row>
    <row r="45" spans="1:19" ht="17.399999999999999">
      <c r="A45" s="222">
        <v>37</v>
      </c>
      <c r="B45" s="228"/>
      <c r="C45" s="225"/>
      <c r="D45" s="232"/>
      <c r="E45" s="225"/>
      <c r="F45" s="232"/>
      <c r="G45" s="225"/>
      <c r="H45" s="225"/>
      <c r="I45" s="225"/>
      <c r="J45" s="232"/>
      <c r="K45" s="225"/>
      <c r="L45" s="232"/>
      <c r="M45" s="225"/>
      <c r="N45" s="232"/>
      <c r="O45" s="232"/>
      <c r="P45" s="232"/>
      <c r="Q45" s="232"/>
      <c r="R45" s="234"/>
      <c r="S45" s="225"/>
    </row>
    <row r="46" spans="1:19" ht="17.399999999999999">
      <c r="A46" s="222">
        <v>38</v>
      </c>
      <c r="B46" s="228"/>
      <c r="C46" s="225"/>
      <c r="D46" s="232"/>
      <c r="E46" s="225"/>
      <c r="F46" s="232"/>
      <c r="G46" s="225"/>
      <c r="H46" s="225"/>
      <c r="I46" s="225"/>
      <c r="J46" s="232"/>
      <c r="K46" s="225"/>
      <c r="L46" s="232"/>
      <c r="M46" s="225"/>
      <c r="N46" s="232"/>
      <c r="O46" s="232"/>
      <c r="P46" s="232"/>
      <c r="Q46" s="232"/>
      <c r="R46" s="234"/>
      <c r="S46" s="225"/>
    </row>
    <row r="47" spans="1:19" ht="17.399999999999999">
      <c r="A47" s="222">
        <v>39</v>
      </c>
      <c r="B47" s="228"/>
      <c r="C47" s="225"/>
      <c r="D47" s="232"/>
      <c r="E47" s="225"/>
      <c r="F47" s="232"/>
      <c r="G47" s="225"/>
      <c r="H47" s="225"/>
      <c r="I47" s="225"/>
      <c r="J47" s="232"/>
      <c r="K47" s="225"/>
      <c r="L47" s="232"/>
      <c r="M47" s="225"/>
      <c r="N47" s="232"/>
      <c r="O47" s="232"/>
      <c r="P47" s="232"/>
      <c r="Q47" s="232"/>
      <c r="R47" s="234"/>
      <c r="S47" s="225"/>
    </row>
    <row r="48" spans="1:19" ht="17.399999999999999">
      <c r="A48" s="222">
        <v>40</v>
      </c>
      <c r="B48" s="228"/>
      <c r="C48" s="225"/>
      <c r="D48" s="232"/>
      <c r="E48" s="225"/>
      <c r="F48" s="232"/>
      <c r="G48" s="225"/>
      <c r="H48" s="225"/>
      <c r="I48" s="225"/>
      <c r="J48" s="232"/>
      <c r="K48" s="225"/>
      <c r="L48" s="232"/>
      <c r="M48" s="225"/>
      <c r="N48" s="232"/>
      <c r="O48" s="232"/>
      <c r="P48" s="232"/>
      <c r="Q48" s="232"/>
      <c r="R48" s="234"/>
      <c r="S48" s="225"/>
    </row>
    <row r="49" spans="1:19" ht="17.399999999999999">
      <c r="A49" s="222">
        <v>41</v>
      </c>
      <c r="B49" s="235"/>
      <c r="C49" s="225"/>
      <c r="D49" s="232"/>
      <c r="E49" s="225"/>
      <c r="F49" s="232"/>
      <c r="G49" s="225"/>
      <c r="H49" s="225"/>
      <c r="I49" s="225"/>
      <c r="J49" s="232"/>
      <c r="K49" s="225"/>
      <c r="L49" s="232"/>
      <c r="M49" s="225"/>
      <c r="N49" s="232"/>
      <c r="O49" s="232"/>
      <c r="P49" s="232"/>
      <c r="Q49" s="232"/>
      <c r="R49" s="234"/>
      <c r="S49" s="234"/>
    </row>
    <row r="50" spans="1:19" ht="17.399999999999999">
      <c r="A50" s="361" t="s">
        <v>70</v>
      </c>
      <c r="B50" s="362"/>
      <c r="C50" s="39"/>
      <c r="D50" s="37"/>
      <c r="E50" s="39"/>
      <c r="F50" s="39"/>
      <c r="G50" s="39"/>
      <c r="H50" s="37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</row>
    <row r="51" spans="1:19" ht="34.799999999999997">
      <c r="A51" s="387" t="s">
        <v>71</v>
      </c>
      <c r="B51" s="107" t="s">
        <v>72</v>
      </c>
      <c r="C51" s="402">
        <f>COUNTA(C9:C48)</f>
        <v>36</v>
      </c>
      <c r="D51" s="360"/>
      <c r="E51" s="402">
        <f>COUNTA(E9:E48)</f>
        <v>21</v>
      </c>
      <c r="F51" s="360"/>
      <c r="G51" s="402">
        <f>COUNTA(G9:G48)</f>
        <v>14</v>
      </c>
      <c r="H51" s="360"/>
      <c r="I51" s="402">
        <v>0</v>
      </c>
      <c r="J51" s="360"/>
      <c r="K51" s="402">
        <v>36</v>
      </c>
      <c r="L51" s="360"/>
      <c r="M51" s="402">
        <f>COUNTA(M9:M48)</f>
        <v>36</v>
      </c>
      <c r="N51" s="360"/>
      <c r="O51" s="402">
        <v>36</v>
      </c>
      <c r="P51" s="360"/>
      <c r="Q51" s="359" t="s">
        <v>15</v>
      </c>
      <c r="R51" s="378"/>
      <c r="S51" s="360"/>
    </row>
    <row r="52" spans="1:19" ht="17.399999999999999">
      <c r="A52" s="381"/>
      <c r="B52" s="45" t="s">
        <v>73</v>
      </c>
      <c r="C52" s="403">
        <f>C51-C53</f>
        <v>2</v>
      </c>
      <c r="D52" s="362"/>
      <c r="E52" s="403">
        <f>E51-E53</f>
        <v>0</v>
      </c>
      <c r="F52" s="362"/>
      <c r="G52" s="403">
        <f>G51-G53</f>
        <v>1</v>
      </c>
      <c r="H52" s="362"/>
      <c r="I52" s="403">
        <f>I51-I53</f>
        <v>-35</v>
      </c>
      <c r="J52" s="362"/>
      <c r="K52" s="403">
        <v>0</v>
      </c>
      <c r="L52" s="362"/>
      <c r="M52" s="403">
        <f>M51-M53</f>
        <v>2</v>
      </c>
      <c r="N52" s="362"/>
      <c r="O52" s="403">
        <f>O51-O53</f>
        <v>8</v>
      </c>
      <c r="P52" s="362"/>
      <c r="Q52" s="361">
        <f>COUNTIF(T9:T48,0)</f>
        <v>0</v>
      </c>
      <c r="R52" s="364"/>
      <c r="S52" s="362"/>
    </row>
    <row r="53" spans="1:19" ht="17.399999999999999">
      <c r="A53" s="381"/>
      <c r="B53" s="46" t="s">
        <v>74</v>
      </c>
      <c r="C53" s="403">
        <f>COUNTIFS(D9:D48,"&gt;0")</f>
        <v>34</v>
      </c>
      <c r="D53" s="362"/>
      <c r="E53" s="403">
        <f>COUNTIFS(F9:F48,"&gt;0")</f>
        <v>21</v>
      </c>
      <c r="F53" s="362"/>
      <c r="G53" s="403">
        <f>COUNTIFS(H9:H48,"&gt;0")</f>
        <v>13</v>
      </c>
      <c r="H53" s="362"/>
      <c r="I53" s="403">
        <f>COUNTIFS(J9:J48,"&gt;0")</f>
        <v>35</v>
      </c>
      <c r="J53" s="362"/>
      <c r="K53" s="403">
        <f>COUNTIFS(L9:L48,"&gt;0")</f>
        <v>35</v>
      </c>
      <c r="L53" s="362"/>
      <c r="M53" s="403">
        <f>COUNTIFS(N9:N48,"&gt;0")</f>
        <v>34</v>
      </c>
      <c r="N53" s="362"/>
      <c r="O53" s="403">
        <f>COUNTIFS(P9:P48,"&gt;0")</f>
        <v>28</v>
      </c>
      <c r="P53" s="362"/>
      <c r="Q53" s="361">
        <f>COUNTIFS(R9:R48,"&gt;0")</f>
        <v>27</v>
      </c>
      <c r="R53" s="364"/>
      <c r="S53" s="362"/>
    </row>
    <row r="54" spans="1:19" ht="17.399999999999999">
      <c r="A54" s="381"/>
      <c r="B54" s="46" t="s">
        <v>75</v>
      </c>
      <c r="C54" s="403">
        <f>C53-C56</f>
        <v>34</v>
      </c>
      <c r="D54" s="362"/>
      <c r="E54" s="403">
        <f>E53-E56</f>
        <v>21</v>
      </c>
      <c r="F54" s="362"/>
      <c r="G54" s="403">
        <f>G53-G56</f>
        <v>13</v>
      </c>
      <c r="H54" s="362"/>
      <c r="I54" s="403">
        <f>I53-I56</f>
        <v>35</v>
      </c>
      <c r="J54" s="362"/>
      <c r="K54" s="403">
        <f>K53-K56</f>
        <v>35</v>
      </c>
      <c r="L54" s="362"/>
      <c r="M54" s="403">
        <f>M53-M56</f>
        <v>34</v>
      </c>
      <c r="N54" s="362"/>
      <c r="O54" s="403">
        <f>O53-O56</f>
        <v>25</v>
      </c>
      <c r="P54" s="362"/>
      <c r="Q54" s="372"/>
      <c r="R54" s="364"/>
      <c r="S54" s="362"/>
    </row>
    <row r="55" spans="1:19" ht="17.399999999999999">
      <c r="A55" s="381"/>
      <c r="B55" s="46" t="s">
        <v>76</v>
      </c>
      <c r="C55" s="404">
        <f>IF(C53=0,"",(C54/C53)*100)</f>
        <v>100</v>
      </c>
      <c r="D55" s="362"/>
      <c r="E55" s="404">
        <f>IF(E53=0,"",(E54/E53)*100)</f>
        <v>100</v>
      </c>
      <c r="F55" s="362"/>
      <c r="G55" s="404">
        <f>IF(G53=0,"",(G54/G53)*100)</f>
        <v>100</v>
      </c>
      <c r="H55" s="362"/>
      <c r="I55" s="404">
        <f>IF(I53=0,"",(I54/I53)*100)</f>
        <v>100</v>
      </c>
      <c r="J55" s="362"/>
      <c r="K55" s="404">
        <f>IF(K53=0,"",(K54/K53)*100)</f>
        <v>100</v>
      </c>
      <c r="L55" s="362"/>
      <c r="M55" s="404">
        <f>IF(M53=0,"",(M54/M53)*100)</f>
        <v>100</v>
      </c>
      <c r="N55" s="362"/>
      <c r="O55" s="404">
        <f>IF(O53=0,"",(O54/O53)*100)</f>
        <v>89.285714285714292</v>
      </c>
      <c r="P55" s="362"/>
      <c r="Q55" s="363">
        <f>IF(Q53=0,"",(Q54/Q53)*100)</f>
        <v>0</v>
      </c>
      <c r="R55" s="364"/>
      <c r="S55" s="362"/>
    </row>
    <row r="56" spans="1:19" ht="17.399999999999999">
      <c r="A56" s="381"/>
      <c r="B56" s="46" t="s">
        <v>77</v>
      </c>
      <c r="C56" s="403">
        <f>COUNTIFS(D9:D48,"&lt;=32",D9:D48,"&gt; 0")</f>
        <v>0</v>
      </c>
      <c r="D56" s="362"/>
      <c r="E56" s="403">
        <f>COUNTIFS(F9:F48,"&lt;=32",F9:F48,"&gt; 0")</f>
        <v>0</v>
      </c>
      <c r="F56" s="362"/>
      <c r="G56" s="403">
        <f>COUNTIFS(H9:H48,"&lt;=32",H9:H48,"&gt; 0")</f>
        <v>0</v>
      </c>
      <c r="H56" s="362"/>
      <c r="I56" s="403">
        <f>COUNTIFS(J9:J48,"&lt;=32",J9:J48,"&gt; 0")</f>
        <v>0</v>
      </c>
      <c r="J56" s="362"/>
      <c r="K56" s="403">
        <f>COUNTIFS(L9:L48,"&lt;=32",L9:L48,"&gt; 0")</f>
        <v>0</v>
      </c>
      <c r="L56" s="362"/>
      <c r="M56" s="403">
        <f>COUNTIFS(N9:N48,"&lt;=32",N9:N48,"&gt; 0")</f>
        <v>0</v>
      </c>
      <c r="N56" s="362"/>
      <c r="O56" s="403">
        <f>COUNTIFS(P9:P48,"&lt;=32",P9:P48,"&gt; 0")</f>
        <v>3</v>
      </c>
      <c r="P56" s="362"/>
      <c r="Q56" s="361">
        <v>3</v>
      </c>
      <c r="R56" s="364"/>
      <c r="S56" s="362"/>
    </row>
    <row r="57" spans="1:19" ht="17.399999999999999">
      <c r="A57" s="381"/>
      <c r="B57" s="46" t="s">
        <v>78</v>
      </c>
      <c r="C57" s="403">
        <f>COUNTIFS(D9:D48,"&gt;=32.1",D9:D48,"&lt;=44")</f>
        <v>1</v>
      </c>
      <c r="D57" s="362"/>
      <c r="E57" s="403">
        <f>COUNTIFS(F9:F48,"&gt;=32.1",F9:F48,"&lt;=44")</f>
        <v>0</v>
      </c>
      <c r="F57" s="362"/>
      <c r="G57" s="403">
        <f>COUNTIFS(H9:H48,"&gt;=32.1",H9:H48,"&lt;=44")</f>
        <v>0</v>
      </c>
      <c r="H57" s="362"/>
      <c r="I57" s="403">
        <f>COUNTIFS(J9:J48,"&gt;=32.1",J9:J48,"&lt;=44")</f>
        <v>2</v>
      </c>
      <c r="J57" s="362"/>
      <c r="K57" s="403">
        <f>COUNTIFS(L9:L48,"&gt;=32.1",L9:L48,"&lt;=44")</f>
        <v>1</v>
      </c>
      <c r="L57" s="362"/>
      <c r="M57" s="403">
        <f>COUNTIFS(N9:N48,"&gt;=32.1",N9:N48,"&lt;=44")</f>
        <v>0</v>
      </c>
      <c r="N57" s="362"/>
      <c r="O57" s="403">
        <f>COUNTIFS(P9:P48,"&gt;=32.1",P9:P48,"&lt;=44")</f>
        <v>2</v>
      </c>
      <c r="P57" s="362"/>
      <c r="Q57" s="361">
        <f>COUNTIFS(R9:R48,"&gt;=32.1",R9:R48,"&lt;=44")</f>
        <v>0</v>
      </c>
      <c r="R57" s="364"/>
      <c r="S57" s="362"/>
    </row>
    <row r="58" spans="1:19" ht="17.399999999999999">
      <c r="A58" s="381"/>
      <c r="B58" s="46" t="s">
        <v>79</v>
      </c>
      <c r="C58" s="403">
        <f>COUNTIFS(D9:D48,"&gt;=44.1",D9:D48,"&lt;=59")</f>
        <v>6</v>
      </c>
      <c r="D58" s="362"/>
      <c r="E58" s="403">
        <f>COUNTIFS(F9:F48,"&gt;=44.1",F9:F48,"&lt;=59")</f>
        <v>5</v>
      </c>
      <c r="F58" s="362"/>
      <c r="G58" s="403">
        <f>COUNTIFS(H9:H48,"&gt;=44.1",H9:H48,"&lt;=59")</f>
        <v>1</v>
      </c>
      <c r="H58" s="362"/>
      <c r="I58" s="403">
        <f>COUNTIFS(J9:J48,"&gt;=44.1",J9:J48,"&lt;=59")</f>
        <v>4</v>
      </c>
      <c r="J58" s="362"/>
      <c r="K58" s="403">
        <f>COUNTIFS(L9:L48,"&gt;=44.1",L9:L48,"&lt;=59")</f>
        <v>6</v>
      </c>
      <c r="L58" s="362"/>
      <c r="M58" s="403">
        <f>COUNTIFS(N9:N48,"&gt;=44.1",N9:N48,"&lt;=59")</f>
        <v>3</v>
      </c>
      <c r="N58" s="362"/>
      <c r="O58" s="403">
        <f>COUNTIFS(P9:P48,"&gt;=44.1",P9:P48,"&lt;=59")</f>
        <v>5</v>
      </c>
      <c r="P58" s="362"/>
      <c r="Q58" s="361">
        <f>COUNTIFS(R9:R48,"&gt;=44.1",R9:R48,"&lt;=59")</f>
        <v>2</v>
      </c>
      <c r="R58" s="364"/>
      <c r="S58" s="362"/>
    </row>
    <row r="59" spans="1:19" ht="17.399999999999999">
      <c r="A59" s="381"/>
      <c r="B59" s="46" t="s">
        <v>80</v>
      </c>
      <c r="C59" s="403">
        <f>COUNTIFS(D9:D48,"&gt;=59.1",D9:D48,"&lt;=74")</f>
        <v>7</v>
      </c>
      <c r="D59" s="362"/>
      <c r="E59" s="403">
        <f>COUNTIFS(F9:F48,"&gt;=59.1",F9:F48,"&lt;=74")</f>
        <v>5</v>
      </c>
      <c r="F59" s="362"/>
      <c r="G59" s="403">
        <f>COUNTIFS(H9:H48,"&gt;=59.1",H9:H48,"&lt;=74")</f>
        <v>0</v>
      </c>
      <c r="H59" s="362"/>
      <c r="I59" s="403">
        <f>COUNTIFS(J9:J48,"&gt;=59.1",J9:J48,"&lt;=74")</f>
        <v>8</v>
      </c>
      <c r="J59" s="362"/>
      <c r="K59" s="403">
        <f>COUNTIFS(L9:L48,"&gt;=59.1",L9:L48,"&lt;=74")</f>
        <v>7</v>
      </c>
      <c r="L59" s="362"/>
      <c r="M59" s="403">
        <f>COUNTIFS(N9:N48,"&gt;=59.1",N9:N48,"&lt;=74")</f>
        <v>5</v>
      </c>
      <c r="N59" s="362"/>
      <c r="O59" s="403">
        <f>COUNTIFS(P9:P48,"&gt;=59.1",P9:P48,"&lt;=74")</f>
        <v>4</v>
      </c>
      <c r="P59" s="362"/>
      <c r="Q59" s="361">
        <f>COUNTIFS(R9:R48,"&gt;=59.1",R9:R48,"&lt;=74")</f>
        <v>8</v>
      </c>
      <c r="R59" s="364"/>
      <c r="S59" s="362"/>
    </row>
    <row r="60" spans="1:19" ht="17.399999999999999">
      <c r="A60" s="381"/>
      <c r="B60" s="46" t="s">
        <v>81</v>
      </c>
      <c r="C60" s="403">
        <f>COUNTIFS(D9:D48,"&gt;=74.1",D9:D48,"&lt;89")</f>
        <v>15</v>
      </c>
      <c r="D60" s="362"/>
      <c r="E60" s="403">
        <f>COUNTIFS(F9:F48,"&gt;=74.1",F9:F48,"&lt;89")</f>
        <v>6</v>
      </c>
      <c r="F60" s="362"/>
      <c r="G60" s="403">
        <f>COUNTIFS(H9:H48,"&gt;=74.1",H9:H48,"&lt;89")</f>
        <v>2</v>
      </c>
      <c r="H60" s="362"/>
      <c r="I60" s="403">
        <f>COUNTIFS(J9:J48,"&gt;=74.1",J9:J48,"&lt;89")</f>
        <v>11</v>
      </c>
      <c r="J60" s="362"/>
      <c r="K60" s="403">
        <f>COUNTIFS(L9:L48,"&gt;=74.1",L9:L48,"&lt;89")</f>
        <v>9</v>
      </c>
      <c r="L60" s="362"/>
      <c r="M60" s="403">
        <f>COUNTIFS(N9:N48,"&gt;=74.1",N9:N48,"&lt;89")</f>
        <v>16</v>
      </c>
      <c r="N60" s="362"/>
      <c r="O60" s="403">
        <f>COUNTIFS(P9:P48,"&gt;=74.1",P9:P48,"&lt;89")</f>
        <v>8</v>
      </c>
      <c r="P60" s="362"/>
      <c r="Q60" s="361">
        <f>COUNTIFS(R9:R48,"&gt;=74.1",R9:R48,"&lt;89")</f>
        <v>10</v>
      </c>
      <c r="R60" s="364"/>
      <c r="S60" s="362"/>
    </row>
    <row r="61" spans="1:19" ht="17.399999999999999">
      <c r="A61" s="382"/>
      <c r="B61" s="48" t="s">
        <v>82</v>
      </c>
      <c r="C61" s="405">
        <f>COUNTIF(D9:D48,"&gt;=89.1")</f>
        <v>5</v>
      </c>
      <c r="D61" s="371"/>
      <c r="E61" s="405">
        <f>COUNTIF(F9:F48,"&gt;=89.1")</f>
        <v>5</v>
      </c>
      <c r="F61" s="371"/>
      <c r="G61" s="405">
        <f>COUNTIF(H9:H48,"&gt;=89.1")</f>
        <v>10</v>
      </c>
      <c r="H61" s="371"/>
      <c r="I61" s="405">
        <f>COUNTIF(J9:J48,"&gt;=89.1")</f>
        <v>10</v>
      </c>
      <c r="J61" s="371"/>
      <c r="K61" s="405">
        <f>COUNTIF(L9:L48,"&gt;=89.1")</f>
        <v>12</v>
      </c>
      <c r="L61" s="371"/>
      <c r="M61" s="405">
        <f>COUNTIF(N9:N48,"&gt;=89.1")</f>
        <v>10</v>
      </c>
      <c r="N61" s="371"/>
      <c r="O61" s="405">
        <f>COUNTIF(P9:P48,"&gt;=89.1")</f>
        <v>6</v>
      </c>
      <c r="P61" s="371"/>
      <c r="Q61" s="361">
        <f>COUNTIF(R9:R48,"&gt;=89.1")</f>
        <v>7</v>
      </c>
      <c r="R61" s="364"/>
      <c r="S61" s="362"/>
    </row>
    <row r="62" spans="1:19" ht="17.399999999999999">
      <c r="A62" s="388" t="s">
        <v>83</v>
      </c>
      <c r="B62" s="364"/>
      <c r="C62" s="372"/>
      <c r="D62" s="362"/>
      <c r="E62" s="372"/>
      <c r="F62" s="362"/>
      <c r="G62" s="22"/>
      <c r="H62" s="22"/>
      <c r="I62" s="372"/>
      <c r="J62" s="362"/>
      <c r="K62" s="372"/>
      <c r="L62" s="362"/>
      <c r="M62" s="372"/>
      <c r="N62" s="362"/>
      <c r="O62" s="372"/>
      <c r="P62" s="362"/>
      <c r="Q62" s="367" t="s">
        <v>84</v>
      </c>
      <c r="R62" s="364"/>
      <c r="S62" s="82">
        <f>IF(Q53=0,"",Q52/Q53*100)</f>
        <v>0</v>
      </c>
    </row>
    <row r="63" spans="1:19" ht="14.4">
      <c r="A63" s="389" t="s">
        <v>85</v>
      </c>
      <c r="B63" s="369"/>
      <c r="C63" s="390"/>
      <c r="D63" s="369"/>
      <c r="E63" s="369"/>
      <c r="F63" s="369"/>
      <c r="G63" s="369"/>
      <c r="H63" s="369"/>
      <c r="I63" s="369"/>
      <c r="J63" s="369"/>
      <c r="K63" s="369"/>
      <c r="L63" s="369"/>
      <c r="M63" s="369"/>
      <c r="N63" s="369"/>
      <c r="O63" s="390"/>
      <c r="P63" s="369"/>
      <c r="Q63" s="369"/>
      <c r="R63" s="369"/>
      <c r="S63" s="369"/>
    </row>
  </sheetData>
  <mergeCells count="122">
    <mergeCell ref="I60:J60"/>
    <mergeCell ref="A62:B62"/>
    <mergeCell ref="C62:D62"/>
    <mergeCell ref="E62:F62"/>
    <mergeCell ref="I62:J62"/>
    <mergeCell ref="K62:L62"/>
    <mergeCell ref="A63:B63"/>
    <mergeCell ref="C63:N63"/>
    <mergeCell ref="A50:B50"/>
    <mergeCell ref="A51:A61"/>
    <mergeCell ref="E51:F51"/>
    <mergeCell ref="G51:H51"/>
    <mergeCell ref="I51:J51"/>
    <mergeCell ref="K51:L51"/>
    <mergeCell ref="K52:L52"/>
    <mergeCell ref="K54:L54"/>
    <mergeCell ref="C55:D55"/>
    <mergeCell ref="E55:F55"/>
    <mergeCell ref="G55:H55"/>
    <mergeCell ref="I55:J55"/>
    <mergeCell ref="K55:L55"/>
    <mergeCell ref="K56:L56"/>
    <mergeCell ref="C57:D57"/>
    <mergeCell ref="E57:F57"/>
    <mergeCell ref="G57:H57"/>
    <mergeCell ref="Q56:S56"/>
    <mergeCell ref="O57:P57"/>
    <mergeCell ref="Q57:S57"/>
    <mergeCell ref="K60:L60"/>
    <mergeCell ref="C61:D61"/>
    <mergeCell ref="E61:F61"/>
    <mergeCell ref="G61:H61"/>
    <mergeCell ref="I61:J61"/>
    <mergeCell ref="K61:L61"/>
    <mergeCell ref="I57:J57"/>
    <mergeCell ref="K57:L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C60:D60"/>
    <mergeCell ref="E60:F60"/>
    <mergeCell ref="G60:H60"/>
    <mergeCell ref="O63:S63"/>
    <mergeCell ref="M60:N60"/>
    <mergeCell ref="O60:P60"/>
    <mergeCell ref="Q60:S60"/>
    <mergeCell ref="M61:N61"/>
    <mergeCell ref="O61:P61"/>
    <mergeCell ref="Q61:S61"/>
    <mergeCell ref="M62:N62"/>
    <mergeCell ref="C51:D51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C56:D56"/>
    <mergeCell ref="E56:F56"/>
    <mergeCell ref="G56:H56"/>
    <mergeCell ref="I56:J56"/>
    <mergeCell ref="M56:N56"/>
    <mergeCell ref="O56:P56"/>
    <mergeCell ref="M57:N57"/>
    <mergeCell ref="M58:N58"/>
    <mergeCell ref="O58:P58"/>
    <mergeCell ref="Q58:S58"/>
    <mergeCell ref="M59:N59"/>
    <mergeCell ref="O59:P59"/>
    <mergeCell ref="Q59:S59"/>
    <mergeCell ref="O62:P62"/>
    <mergeCell ref="Q62:R62"/>
    <mergeCell ref="M55:N55"/>
    <mergeCell ref="O55:P55"/>
    <mergeCell ref="Q55:S55"/>
    <mergeCell ref="G52:H52"/>
    <mergeCell ref="I52:J52"/>
    <mergeCell ref="M52:N52"/>
    <mergeCell ref="O52:P52"/>
    <mergeCell ref="Q52:S52"/>
    <mergeCell ref="O53:P53"/>
    <mergeCell ref="Q53:S53"/>
    <mergeCell ref="M51:N51"/>
    <mergeCell ref="O51:P51"/>
    <mergeCell ref="Q51:S51"/>
    <mergeCell ref="C52:D52"/>
    <mergeCell ref="E52:F52"/>
    <mergeCell ref="M53:N53"/>
    <mergeCell ref="M54:N54"/>
    <mergeCell ref="O54:P54"/>
    <mergeCell ref="Q54:S54"/>
    <mergeCell ref="K6:L6"/>
    <mergeCell ref="M6:N6"/>
    <mergeCell ref="O6:P6"/>
    <mergeCell ref="Q6:R6"/>
    <mergeCell ref="S6:S8"/>
    <mergeCell ref="A4:B4"/>
    <mergeCell ref="A6:A8"/>
    <mergeCell ref="B6:B8"/>
    <mergeCell ref="C6:D6"/>
    <mergeCell ref="E6:F6"/>
    <mergeCell ref="G6:H6"/>
    <mergeCell ref="I6:J6"/>
    <mergeCell ref="E4:L4"/>
    <mergeCell ref="M4:S4"/>
    <mergeCell ref="A1:S1"/>
    <mergeCell ref="A2:S2"/>
    <mergeCell ref="A3:D3"/>
    <mergeCell ref="E3:L3"/>
    <mergeCell ref="M3:S3"/>
    <mergeCell ref="C4:D4"/>
    <mergeCell ref="A5:S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S1000"/>
  <sheetViews>
    <sheetView workbookViewId="0"/>
  </sheetViews>
  <sheetFormatPr defaultColWidth="12.6640625" defaultRowHeight="15.75" customHeight="1"/>
  <cols>
    <col min="2" max="2" width="23.77734375" customWidth="1"/>
    <col min="3" max="3" width="9.6640625" customWidth="1"/>
    <col min="4" max="4" width="7.109375" customWidth="1"/>
    <col min="5" max="5" width="8.109375" customWidth="1"/>
    <col min="6" max="6" width="8" customWidth="1"/>
    <col min="7" max="7" width="9.109375" customWidth="1"/>
    <col min="8" max="8" width="6.88671875" customWidth="1"/>
    <col min="9" max="9" width="8.88671875" customWidth="1"/>
    <col min="10" max="10" width="8.33203125" customWidth="1"/>
    <col min="11" max="11" width="9" customWidth="1"/>
    <col min="12" max="12" width="7.33203125" customWidth="1"/>
    <col min="13" max="13" width="9.33203125" customWidth="1"/>
    <col min="14" max="14" width="9.109375" customWidth="1"/>
    <col min="15" max="15" width="8.77734375" customWidth="1"/>
    <col min="16" max="16" width="9" customWidth="1"/>
  </cols>
  <sheetData>
    <row r="1" spans="1:19" ht="15.75" customHeight="1">
      <c r="A1" s="392" t="s">
        <v>87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</row>
    <row r="2" spans="1:19" ht="15.75" customHeight="1">
      <c r="A2" s="392" t="s">
        <v>0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</row>
    <row r="3" spans="1:19" ht="15.75" customHeight="1">
      <c r="A3" s="373" t="s">
        <v>0</v>
      </c>
      <c r="B3" s="366"/>
      <c r="C3" s="366"/>
      <c r="D3" s="366"/>
      <c r="E3" s="374" t="s">
        <v>1</v>
      </c>
      <c r="F3" s="366"/>
      <c r="G3" s="366"/>
      <c r="H3" s="366"/>
      <c r="I3" s="366"/>
      <c r="J3" s="366"/>
      <c r="K3" s="366"/>
      <c r="L3" s="366"/>
      <c r="M3" s="375" t="s">
        <v>654</v>
      </c>
      <c r="N3" s="366"/>
      <c r="O3" s="366"/>
      <c r="P3" s="366"/>
      <c r="Q3" s="366"/>
      <c r="R3" s="366"/>
      <c r="S3" s="366"/>
    </row>
    <row r="4" spans="1:19" ht="15.75" customHeight="1">
      <c r="A4" s="383" t="s">
        <v>141</v>
      </c>
      <c r="B4" s="366"/>
      <c r="C4" s="374" t="s">
        <v>655</v>
      </c>
      <c r="D4" s="366"/>
      <c r="E4" s="374" t="s">
        <v>4</v>
      </c>
      <c r="F4" s="366"/>
      <c r="G4" s="366"/>
      <c r="H4" s="366"/>
      <c r="I4" s="366"/>
      <c r="J4" s="366"/>
      <c r="K4" s="366"/>
      <c r="L4" s="366"/>
      <c r="M4" s="374" t="s">
        <v>5</v>
      </c>
      <c r="N4" s="366"/>
      <c r="O4" s="366"/>
      <c r="P4" s="366"/>
      <c r="Q4" s="366"/>
      <c r="R4" s="366"/>
      <c r="S4" s="366"/>
    </row>
    <row r="5" spans="1:19" ht="15.75" customHeight="1">
      <c r="A5" s="377" t="s">
        <v>656</v>
      </c>
      <c r="B5" s="378"/>
      <c r="C5" s="378"/>
      <c r="D5" s="378"/>
      <c r="E5" s="378"/>
      <c r="F5" s="378"/>
      <c r="G5" s="378"/>
      <c r="H5" s="378"/>
      <c r="I5" s="378"/>
      <c r="J5" s="378"/>
      <c r="K5" s="378"/>
      <c r="L5" s="378"/>
      <c r="M5" s="378"/>
      <c r="N5" s="378"/>
      <c r="O5" s="378"/>
      <c r="P5" s="378"/>
      <c r="Q5" s="378"/>
      <c r="R5" s="378"/>
      <c r="S5" s="378"/>
    </row>
    <row r="6" spans="1:19">
      <c r="A6" s="384" t="s">
        <v>7</v>
      </c>
      <c r="B6" s="418" t="s">
        <v>8</v>
      </c>
      <c r="C6" s="379" t="s">
        <v>9</v>
      </c>
      <c r="D6" s="360"/>
      <c r="E6" s="379" t="s">
        <v>10</v>
      </c>
      <c r="F6" s="360"/>
      <c r="G6" s="379" t="s">
        <v>14</v>
      </c>
      <c r="H6" s="360"/>
      <c r="I6" s="379" t="s">
        <v>11</v>
      </c>
      <c r="J6" s="360"/>
      <c r="K6" s="379" t="s">
        <v>12</v>
      </c>
      <c r="L6" s="360"/>
      <c r="M6" s="379" t="s">
        <v>13</v>
      </c>
      <c r="N6" s="360"/>
      <c r="O6" s="379" t="s">
        <v>473</v>
      </c>
      <c r="P6" s="360"/>
      <c r="Q6" s="367" t="s">
        <v>15</v>
      </c>
      <c r="R6" s="362"/>
      <c r="S6" s="380" t="s">
        <v>16</v>
      </c>
    </row>
    <row r="7" spans="1:19">
      <c r="A7" s="381"/>
      <c r="B7" s="381"/>
      <c r="C7" s="4" t="s">
        <v>17</v>
      </c>
      <c r="D7" s="5">
        <v>40</v>
      </c>
      <c r="E7" s="4" t="s">
        <v>17</v>
      </c>
      <c r="F7" s="5">
        <v>40</v>
      </c>
      <c r="G7" s="4" t="s">
        <v>17</v>
      </c>
      <c r="H7" s="5">
        <v>40</v>
      </c>
      <c r="I7" s="4" t="s">
        <v>17</v>
      </c>
      <c r="J7" s="5">
        <v>40</v>
      </c>
      <c r="K7" s="4" t="s">
        <v>17</v>
      </c>
      <c r="L7" s="5">
        <v>40</v>
      </c>
      <c r="M7" s="4" t="s">
        <v>17</v>
      </c>
      <c r="N7" s="5">
        <v>40</v>
      </c>
      <c r="O7" s="4" t="s">
        <v>17</v>
      </c>
      <c r="P7" s="5">
        <v>40</v>
      </c>
      <c r="Q7" s="4" t="s">
        <v>17</v>
      </c>
      <c r="R7" s="5">
        <v>600</v>
      </c>
      <c r="S7" s="381"/>
    </row>
    <row r="8" spans="1:19">
      <c r="A8" s="382"/>
      <c r="B8" s="382"/>
      <c r="C8" s="6" t="s">
        <v>18</v>
      </c>
      <c r="D8" s="6" t="s">
        <v>19</v>
      </c>
      <c r="E8" s="6" t="s">
        <v>18</v>
      </c>
      <c r="F8" s="6" t="s">
        <v>19</v>
      </c>
      <c r="G8" s="6" t="s">
        <v>18</v>
      </c>
      <c r="H8" s="6" t="s">
        <v>19</v>
      </c>
      <c r="I8" s="6" t="s">
        <v>18</v>
      </c>
      <c r="J8" s="6" t="s">
        <v>19</v>
      </c>
      <c r="K8" s="6" t="s">
        <v>18</v>
      </c>
      <c r="L8" s="6" t="s">
        <v>19</v>
      </c>
      <c r="M8" s="6" t="s">
        <v>18</v>
      </c>
      <c r="N8" s="6" t="s">
        <v>19</v>
      </c>
      <c r="O8" s="6" t="s">
        <v>18</v>
      </c>
      <c r="P8" s="6" t="s">
        <v>19</v>
      </c>
      <c r="Q8" s="6" t="s">
        <v>18</v>
      </c>
      <c r="R8" s="6" t="s">
        <v>19</v>
      </c>
      <c r="S8" s="382"/>
    </row>
    <row r="9" spans="1:19" ht="15.75" customHeight="1">
      <c r="A9" s="86">
        <v>1</v>
      </c>
      <c r="B9" s="236" t="s">
        <v>657</v>
      </c>
      <c r="C9" s="183">
        <v>37</v>
      </c>
      <c r="D9" s="237">
        <f t="shared" ref="D9:D45" si="0">IF(C9="","",IF(C9="AB",AB,IF(C9="TC","TC",(C9/D$7)*100)))</f>
        <v>92.5</v>
      </c>
      <c r="E9" s="238">
        <v>38</v>
      </c>
      <c r="F9" s="184">
        <f t="shared" ref="F9:F45" si="1">IF(E9="","",IF(E9="AB",AB,IF(E9="TC","TC",(E9/F$7)*100)))</f>
        <v>95</v>
      </c>
      <c r="G9" s="22"/>
      <c r="H9" s="22" t="str">
        <f t="shared" ref="H9:H45" si="2">IF(G9="","",IF(G9="AB",AB,IF(G9="TC","TC",(G9/H$7)*100)))</f>
        <v/>
      </c>
      <c r="I9" s="72">
        <v>39</v>
      </c>
      <c r="J9" s="195">
        <f t="shared" ref="J9:J45" si="3">IF(I9="","",IF(I9="AB",AB,IF(I9="TC","TC",(I9/J$7)*100)))</f>
        <v>97.5</v>
      </c>
      <c r="K9" s="239">
        <v>40</v>
      </c>
      <c r="L9" s="240">
        <f t="shared" ref="L9:L58" si="4">IF(K9="","",IF(K9="AB",AB,IF(K9="TC","TC",(K9/L$7)*100)))</f>
        <v>100</v>
      </c>
      <c r="M9" s="203">
        <v>38</v>
      </c>
      <c r="N9" s="184">
        <f t="shared" ref="N9:N45" si="5">IF(M9="","",IF(M9="AB",AB,IF(M9="TC","TC",(M9/N$7)*100)))</f>
        <v>95</v>
      </c>
      <c r="O9" s="184">
        <v>32</v>
      </c>
      <c r="P9" s="184">
        <f t="shared" ref="P9:P45" si="6">IF(O9="","",IF(O9="AB",AB,IF(O9="TC","TC",(O9/P$7)*100)))</f>
        <v>80</v>
      </c>
      <c r="Q9" s="184">
        <f t="shared" ref="Q9:Q45" si="7">SUM(D9,F9,H9,J9,L9,N9,P9)</f>
        <v>560</v>
      </c>
      <c r="R9" s="189">
        <f t="shared" ref="R9:R45" si="8">IF(Q9="","",IF(Q9="AB","AB",(Q9/R$7)*100))</f>
        <v>93.333333333333329</v>
      </c>
      <c r="S9" s="22"/>
    </row>
    <row r="10" spans="1:19" ht="15.75" customHeight="1">
      <c r="A10" s="86">
        <v>2</v>
      </c>
      <c r="B10" s="241" t="s">
        <v>658</v>
      </c>
      <c r="C10" s="183">
        <v>36</v>
      </c>
      <c r="D10" s="237">
        <f t="shared" si="0"/>
        <v>90</v>
      </c>
      <c r="E10" s="193">
        <v>34</v>
      </c>
      <c r="F10" s="184">
        <f t="shared" si="1"/>
        <v>85</v>
      </c>
      <c r="G10" s="18"/>
      <c r="H10" s="22" t="str">
        <f t="shared" si="2"/>
        <v/>
      </c>
      <c r="I10" s="242">
        <v>38</v>
      </c>
      <c r="J10" s="195">
        <f t="shared" si="3"/>
        <v>95</v>
      </c>
      <c r="K10" s="243">
        <v>36</v>
      </c>
      <c r="L10" s="240">
        <f t="shared" si="4"/>
        <v>90</v>
      </c>
      <c r="M10" s="244">
        <v>34</v>
      </c>
      <c r="N10" s="184">
        <f t="shared" si="5"/>
        <v>85</v>
      </c>
      <c r="O10" s="184">
        <v>25</v>
      </c>
      <c r="P10" s="184">
        <f t="shared" si="6"/>
        <v>62.5</v>
      </c>
      <c r="Q10" s="184">
        <f t="shared" si="7"/>
        <v>507.5</v>
      </c>
      <c r="R10" s="189">
        <f t="shared" si="8"/>
        <v>84.583333333333329</v>
      </c>
      <c r="S10" s="22"/>
    </row>
    <row r="11" spans="1:19" ht="15.75" customHeight="1">
      <c r="A11" s="86">
        <v>3</v>
      </c>
      <c r="B11" s="241" t="s">
        <v>659</v>
      </c>
      <c r="C11" s="183">
        <v>38</v>
      </c>
      <c r="D11" s="237">
        <f t="shared" si="0"/>
        <v>95</v>
      </c>
      <c r="E11" s="193">
        <v>33</v>
      </c>
      <c r="F11" s="184">
        <f t="shared" si="1"/>
        <v>82.5</v>
      </c>
      <c r="G11" s="18"/>
      <c r="H11" s="22" t="str">
        <f t="shared" si="2"/>
        <v/>
      </c>
      <c r="I11" s="242">
        <v>26</v>
      </c>
      <c r="J11" s="195">
        <f t="shared" si="3"/>
        <v>65</v>
      </c>
      <c r="K11" s="243">
        <v>33</v>
      </c>
      <c r="L11" s="240">
        <f t="shared" si="4"/>
        <v>82.5</v>
      </c>
      <c r="M11" s="244">
        <v>36</v>
      </c>
      <c r="N11" s="184">
        <f t="shared" si="5"/>
        <v>90</v>
      </c>
      <c r="O11" s="184">
        <v>27</v>
      </c>
      <c r="P11" s="184">
        <f t="shared" si="6"/>
        <v>67.5</v>
      </c>
      <c r="Q11" s="184">
        <f t="shared" si="7"/>
        <v>482.5</v>
      </c>
      <c r="R11" s="189">
        <f t="shared" si="8"/>
        <v>80.416666666666671</v>
      </c>
      <c r="S11" s="22"/>
    </row>
    <row r="12" spans="1:19" ht="15.75" customHeight="1">
      <c r="A12" s="86">
        <v>4</v>
      </c>
      <c r="B12" s="236" t="s">
        <v>660</v>
      </c>
      <c r="C12" s="183">
        <v>35</v>
      </c>
      <c r="D12" s="237">
        <f t="shared" si="0"/>
        <v>87.5</v>
      </c>
      <c r="E12" s="193">
        <v>30</v>
      </c>
      <c r="F12" s="184">
        <f t="shared" si="1"/>
        <v>75</v>
      </c>
      <c r="G12" s="18"/>
      <c r="H12" s="22" t="str">
        <f t="shared" si="2"/>
        <v/>
      </c>
      <c r="I12" s="242">
        <v>33</v>
      </c>
      <c r="J12" s="195">
        <f t="shared" si="3"/>
        <v>82.5</v>
      </c>
      <c r="K12" s="243">
        <v>31</v>
      </c>
      <c r="L12" s="240">
        <f t="shared" si="4"/>
        <v>77.5</v>
      </c>
      <c r="M12" s="244">
        <v>39</v>
      </c>
      <c r="N12" s="184">
        <f t="shared" si="5"/>
        <v>97.5</v>
      </c>
      <c r="O12" s="184">
        <v>32</v>
      </c>
      <c r="P12" s="184">
        <f t="shared" si="6"/>
        <v>80</v>
      </c>
      <c r="Q12" s="184">
        <f t="shared" si="7"/>
        <v>500</v>
      </c>
      <c r="R12" s="189">
        <f t="shared" si="8"/>
        <v>83.333333333333343</v>
      </c>
      <c r="S12" s="22"/>
    </row>
    <row r="13" spans="1:19" ht="15.75" customHeight="1">
      <c r="A13" s="86">
        <v>5</v>
      </c>
      <c r="B13" s="241" t="s">
        <v>661</v>
      </c>
      <c r="C13" s="183">
        <v>34</v>
      </c>
      <c r="D13" s="237">
        <f t="shared" si="0"/>
        <v>85</v>
      </c>
      <c r="E13" s="193">
        <v>39</v>
      </c>
      <c r="F13" s="184">
        <f t="shared" si="1"/>
        <v>97.5</v>
      </c>
      <c r="G13" s="18"/>
      <c r="H13" s="22" t="str">
        <f t="shared" si="2"/>
        <v/>
      </c>
      <c r="I13" s="242">
        <v>39</v>
      </c>
      <c r="J13" s="195">
        <f t="shared" si="3"/>
        <v>97.5</v>
      </c>
      <c r="K13" s="243">
        <v>38</v>
      </c>
      <c r="L13" s="240">
        <f t="shared" si="4"/>
        <v>95</v>
      </c>
      <c r="M13" s="244">
        <v>38</v>
      </c>
      <c r="N13" s="184">
        <f t="shared" si="5"/>
        <v>95</v>
      </c>
      <c r="O13" s="184" t="s">
        <v>24</v>
      </c>
      <c r="P13" s="184" t="e">
        <f t="shared" si="6"/>
        <v>#NAME?</v>
      </c>
      <c r="Q13" s="184" t="e">
        <f t="shared" si="7"/>
        <v>#NAME?</v>
      </c>
      <c r="R13" s="189" t="e">
        <f t="shared" si="8"/>
        <v>#NAME?</v>
      </c>
      <c r="S13" s="22"/>
    </row>
    <row r="14" spans="1:19" ht="15.75" customHeight="1">
      <c r="A14" s="86">
        <v>6</v>
      </c>
      <c r="B14" s="241" t="s">
        <v>662</v>
      </c>
      <c r="C14" s="183">
        <v>37</v>
      </c>
      <c r="D14" s="237">
        <f t="shared" si="0"/>
        <v>92.5</v>
      </c>
      <c r="E14" s="193">
        <v>32</v>
      </c>
      <c r="F14" s="184">
        <f t="shared" si="1"/>
        <v>80</v>
      </c>
      <c r="G14" s="18"/>
      <c r="H14" s="22" t="str">
        <f t="shared" si="2"/>
        <v/>
      </c>
      <c r="I14" s="242">
        <v>35</v>
      </c>
      <c r="J14" s="195">
        <f t="shared" si="3"/>
        <v>87.5</v>
      </c>
      <c r="K14" s="243">
        <v>21</v>
      </c>
      <c r="L14" s="240">
        <f t="shared" si="4"/>
        <v>52.5</v>
      </c>
      <c r="M14" s="244">
        <v>38</v>
      </c>
      <c r="N14" s="184">
        <f t="shared" si="5"/>
        <v>95</v>
      </c>
      <c r="O14" s="184">
        <v>31</v>
      </c>
      <c r="P14" s="184">
        <f t="shared" si="6"/>
        <v>77.5</v>
      </c>
      <c r="Q14" s="184">
        <f t="shared" si="7"/>
        <v>485</v>
      </c>
      <c r="R14" s="189">
        <f t="shared" si="8"/>
        <v>80.833333333333329</v>
      </c>
      <c r="S14" s="22"/>
    </row>
    <row r="15" spans="1:19" ht="15.75" customHeight="1">
      <c r="A15" s="86">
        <v>7</v>
      </c>
      <c r="B15" s="241" t="s">
        <v>663</v>
      </c>
      <c r="C15" s="183">
        <v>38</v>
      </c>
      <c r="D15" s="237">
        <f t="shared" si="0"/>
        <v>95</v>
      </c>
      <c r="E15" s="193">
        <v>36</v>
      </c>
      <c r="F15" s="184">
        <f t="shared" si="1"/>
        <v>90</v>
      </c>
      <c r="G15" s="18"/>
      <c r="H15" s="22" t="str">
        <f t="shared" si="2"/>
        <v/>
      </c>
      <c r="I15" s="242">
        <v>37</v>
      </c>
      <c r="J15" s="195">
        <f t="shared" si="3"/>
        <v>92.5</v>
      </c>
      <c r="K15" s="243">
        <v>32</v>
      </c>
      <c r="L15" s="240">
        <f t="shared" si="4"/>
        <v>80</v>
      </c>
      <c r="M15" s="193">
        <v>37</v>
      </c>
      <c r="N15" s="184">
        <f t="shared" si="5"/>
        <v>92.5</v>
      </c>
      <c r="O15" s="184">
        <v>31</v>
      </c>
      <c r="P15" s="184">
        <f t="shared" si="6"/>
        <v>77.5</v>
      </c>
      <c r="Q15" s="184">
        <f t="shared" si="7"/>
        <v>527.5</v>
      </c>
      <c r="R15" s="189">
        <f t="shared" si="8"/>
        <v>87.916666666666671</v>
      </c>
      <c r="S15" s="22"/>
    </row>
    <row r="16" spans="1:19" ht="15.75" customHeight="1">
      <c r="A16" s="86">
        <v>8</v>
      </c>
      <c r="B16" s="241" t="s">
        <v>664</v>
      </c>
      <c r="C16" s="183">
        <v>26</v>
      </c>
      <c r="D16" s="237">
        <f t="shared" si="0"/>
        <v>65</v>
      </c>
      <c r="E16" s="193">
        <v>18</v>
      </c>
      <c r="F16" s="184">
        <f t="shared" si="1"/>
        <v>45</v>
      </c>
      <c r="G16" s="18"/>
      <c r="H16" s="22" t="str">
        <f t="shared" si="2"/>
        <v/>
      </c>
      <c r="I16" s="242">
        <v>14</v>
      </c>
      <c r="J16" s="195">
        <f t="shared" si="3"/>
        <v>35</v>
      </c>
      <c r="K16" s="243">
        <v>24</v>
      </c>
      <c r="L16" s="240">
        <f t="shared" si="4"/>
        <v>60</v>
      </c>
      <c r="M16" s="244">
        <v>27</v>
      </c>
      <c r="N16" s="184">
        <f t="shared" si="5"/>
        <v>67.5</v>
      </c>
      <c r="O16" s="184">
        <v>13</v>
      </c>
      <c r="P16" s="184">
        <f t="shared" si="6"/>
        <v>32.5</v>
      </c>
      <c r="Q16" s="184">
        <f t="shared" si="7"/>
        <v>305</v>
      </c>
      <c r="R16" s="189">
        <f t="shared" si="8"/>
        <v>50.833333333333329</v>
      </c>
      <c r="S16" s="22"/>
    </row>
    <row r="17" spans="1:19" ht="15.75" customHeight="1">
      <c r="A17" s="86">
        <v>9</v>
      </c>
      <c r="B17" s="241" t="s">
        <v>665</v>
      </c>
      <c r="C17" s="183">
        <v>35</v>
      </c>
      <c r="D17" s="237">
        <f t="shared" si="0"/>
        <v>87.5</v>
      </c>
      <c r="E17" s="193">
        <v>18</v>
      </c>
      <c r="F17" s="184">
        <f t="shared" si="1"/>
        <v>45</v>
      </c>
      <c r="G17" s="18"/>
      <c r="H17" s="22" t="str">
        <f t="shared" si="2"/>
        <v/>
      </c>
      <c r="I17" s="242">
        <v>29</v>
      </c>
      <c r="J17" s="195">
        <f t="shared" si="3"/>
        <v>72.5</v>
      </c>
      <c r="K17" s="243">
        <v>28</v>
      </c>
      <c r="L17" s="240">
        <f t="shared" si="4"/>
        <v>70</v>
      </c>
      <c r="M17" s="244">
        <v>30</v>
      </c>
      <c r="N17" s="184">
        <f t="shared" si="5"/>
        <v>75</v>
      </c>
      <c r="O17" s="184">
        <v>24</v>
      </c>
      <c r="P17" s="184">
        <f t="shared" si="6"/>
        <v>60</v>
      </c>
      <c r="Q17" s="184">
        <f t="shared" si="7"/>
        <v>410</v>
      </c>
      <c r="R17" s="189">
        <f t="shared" si="8"/>
        <v>68.333333333333329</v>
      </c>
      <c r="S17" s="22"/>
    </row>
    <row r="18" spans="1:19" ht="15.75" customHeight="1">
      <c r="A18" s="86">
        <v>10</v>
      </c>
      <c r="B18" s="241" t="s">
        <v>666</v>
      </c>
      <c r="C18" s="183">
        <v>37</v>
      </c>
      <c r="D18" s="237">
        <f t="shared" si="0"/>
        <v>92.5</v>
      </c>
      <c r="E18" s="193">
        <v>29</v>
      </c>
      <c r="F18" s="184">
        <f t="shared" si="1"/>
        <v>72.5</v>
      </c>
      <c r="G18" s="18"/>
      <c r="H18" s="22" t="str">
        <f t="shared" si="2"/>
        <v/>
      </c>
      <c r="I18" s="242">
        <v>29</v>
      </c>
      <c r="J18" s="195">
        <f t="shared" si="3"/>
        <v>72.5</v>
      </c>
      <c r="K18" s="243">
        <v>30</v>
      </c>
      <c r="L18" s="240">
        <f t="shared" si="4"/>
        <v>75</v>
      </c>
      <c r="M18" s="244">
        <v>34</v>
      </c>
      <c r="N18" s="184">
        <f t="shared" si="5"/>
        <v>85</v>
      </c>
      <c r="O18" s="184">
        <v>21</v>
      </c>
      <c r="P18" s="184">
        <f t="shared" si="6"/>
        <v>52.5</v>
      </c>
      <c r="Q18" s="184">
        <f t="shared" si="7"/>
        <v>450</v>
      </c>
      <c r="R18" s="189">
        <f t="shared" si="8"/>
        <v>75</v>
      </c>
      <c r="S18" s="22"/>
    </row>
    <row r="19" spans="1:19" ht="15.75" customHeight="1">
      <c r="A19" s="86">
        <v>11</v>
      </c>
      <c r="B19" s="241" t="s">
        <v>667</v>
      </c>
      <c r="C19" s="183">
        <v>34</v>
      </c>
      <c r="D19" s="237">
        <f t="shared" si="0"/>
        <v>85</v>
      </c>
      <c r="E19" s="193">
        <v>28</v>
      </c>
      <c r="F19" s="184">
        <f t="shared" si="1"/>
        <v>70</v>
      </c>
      <c r="G19" s="18"/>
      <c r="H19" s="22" t="str">
        <f t="shared" si="2"/>
        <v/>
      </c>
      <c r="I19" s="242">
        <v>30</v>
      </c>
      <c r="J19" s="245">
        <f t="shared" si="3"/>
        <v>75</v>
      </c>
      <c r="K19" s="243">
        <v>15</v>
      </c>
      <c r="L19" s="240">
        <f t="shared" si="4"/>
        <v>37.5</v>
      </c>
      <c r="M19" s="244">
        <v>31</v>
      </c>
      <c r="N19" s="184">
        <f t="shared" si="5"/>
        <v>77.5</v>
      </c>
      <c r="O19" s="184">
        <v>24</v>
      </c>
      <c r="P19" s="184">
        <f t="shared" si="6"/>
        <v>60</v>
      </c>
      <c r="Q19" s="184">
        <f t="shared" si="7"/>
        <v>405</v>
      </c>
      <c r="R19" s="229">
        <f t="shared" si="8"/>
        <v>67.5</v>
      </c>
      <c r="S19" s="22"/>
    </row>
    <row r="20" spans="1:19" ht="15.75" customHeight="1">
      <c r="A20" s="86">
        <v>12</v>
      </c>
      <c r="B20" s="241" t="s">
        <v>668</v>
      </c>
      <c r="C20" s="183">
        <v>37</v>
      </c>
      <c r="D20" s="237">
        <f t="shared" si="0"/>
        <v>92.5</v>
      </c>
      <c r="E20" s="193">
        <v>37</v>
      </c>
      <c r="F20" s="184">
        <f t="shared" si="1"/>
        <v>92.5</v>
      </c>
      <c r="G20" s="18"/>
      <c r="H20" s="22" t="str">
        <f t="shared" si="2"/>
        <v/>
      </c>
      <c r="I20" s="242">
        <v>39</v>
      </c>
      <c r="J20" s="195">
        <f t="shared" si="3"/>
        <v>97.5</v>
      </c>
      <c r="K20" s="243">
        <v>36</v>
      </c>
      <c r="L20" s="240">
        <f t="shared" si="4"/>
        <v>90</v>
      </c>
      <c r="M20" s="244">
        <v>36</v>
      </c>
      <c r="N20" s="184">
        <f t="shared" si="5"/>
        <v>90</v>
      </c>
      <c r="O20" s="184">
        <v>35</v>
      </c>
      <c r="P20" s="184">
        <f t="shared" si="6"/>
        <v>87.5</v>
      </c>
      <c r="Q20" s="184">
        <f t="shared" si="7"/>
        <v>550</v>
      </c>
      <c r="R20" s="189">
        <f t="shared" si="8"/>
        <v>91.666666666666657</v>
      </c>
      <c r="S20" s="22"/>
    </row>
    <row r="21" spans="1:19" ht="15.75" customHeight="1">
      <c r="A21" s="86">
        <v>13</v>
      </c>
      <c r="B21" s="236" t="s">
        <v>669</v>
      </c>
      <c r="C21" s="183">
        <v>32</v>
      </c>
      <c r="D21" s="237">
        <f t="shared" si="0"/>
        <v>80</v>
      </c>
      <c r="E21" s="193">
        <v>27</v>
      </c>
      <c r="F21" s="184">
        <f t="shared" si="1"/>
        <v>67.5</v>
      </c>
      <c r="G21" s="18"/>
      <c r="H21" s="22" t="str">
        <f t="shared" si="2"/>
        <v/>
      </c>
      <c r="I21" s="242">
        <v>36</v>
      </c>
      <c r="J21" s="195">
        <f t="shared" si="3"/>
        <v>90</v>
      </c>
      <c r="K21" s="243">
        <v>35</v>
      </c>
      <c r="L21" s="240">
        <f t="shared" si="4"/>
        <v>87.5</v>
      </c>
      <c r="M21" s="244">
        <v>32</v>
      </c>
      <c r="N21" s="184">
        <f t="shared" si="5"/>
        <v>80</v>
      </c>
      <c r="O21" s="184">
        <v>30</v>
      </c>
      <c r="P21" s="184">
        <f t="shared" si="6"/>
        <v>75</v>
      </c>
      <c r="Q21" s="184">
        <f t="shared" si="7"/>
        <v>480</v>
      </c>
      <c r="R21" s="189">
        <f t="shared" si="8"/>
        <v>80</v>
      </c>
      <c r="S21" s="22"/>
    </row>
    <row r="22" spans="1:19" ht="15.75" customHeight="1">
      <c r="A22" s="86">
        <v>14</v>
      </c>
      <c r="B22" s="241" t="s">
        <v>670</v>
      </c>
      <c r="C22" s="201">
        <v>35</v>
      </c>
      <c r="D22" s="237">
        <f t="shared" si="0"/>
        <v>87.5</v>
      </c>
      <c r="E22" s="193">
        <v>32</v>
      </c>
      <c r="F22" s="184">
        <f t="shared" si="1"/>
        <v>80</v>
      </c>
      <c r="G22" s="18"/>
      <c r="H22" s="22" t="str">
        <f t="shared" si="2"/>
        <v/>
      </c>
      <c r="I22" s="242">
        <v>29</v>
      </c>
      <c r="J22" s="195">
        <f t="shared" si="3"/>
        <v>72.5</v>
      </c>
      <c r="K22" s="243">
        <v>30</v>
      </c>
      <c r="L22" s="240">
        <f t="shared" si="4"/>
        <v>75</v>
      </c>
      <c r="M22" s="244">
        <v>34</v>
      </c>
      <c r="N22" s="184">
        <f t="shared" si="5"/>
        <v>85</v>
      </c>
      <c r="O22" s="184">
        <v>30</v>
      </c>
      <c r="P22" s="184">
        <f t="shared" si="6"/>
        <v>75</v>
      </c>
      <c r="Q22" s="184">
        <f t="shared" si="7"/>
        <v>475</v>
      </c>
      <c r="R22" s="189">
        <f t="shared" si="8"/>
        <v>79.166666666666657</v>
      </c>
      <c r="S22" s="22"/>
    </row>
    <row r="23" spans="1:19" ht="15.75" customHeight="1">
      <c r="A23" s="86">
        <v>15</v>
      </c>
      <c r="B23" s="241" t="s">
        <v>671</v>
      </c>
      <c r="C23" s="183">
        <v>36</v>
      </c>
      <c r="D23" s="237">
        <f t="shared" si="0"/>
        <v>90</v>
      </c>
      <c r="E23" s="193">
        <v>30</v>
      </c>
      <c r="F23" s="184">
        <f t="shared" si="1"/>
        <v>75</v>
      </c>
      <c r="G23" s="18"/>
      <c r="H23" s="22" t="str">
        <f t="shared" si="2"/>
        <v/>
      </c>
      <c r="I23" s="246">
        <v>37</v>
      </c>
      <c r="J23" s="195">
        <f t="shared" si="3"/>
        <v>92.5</v>
      </c>
      <c r="K23" s="243">
        <v>33</v>
      </c>
      <c r="L23" s="240">
        <f t="shared" si="4"/>
        <v>82.5</v>
      </c>
      <c r="M23" s="244">
        <v>33</v>
      </c>
      <c r="N23" s="184">
        <f t="shared" si="5"/>
        <v>82.5</v>
      </c>
      <c r="O23" s="184">
        <v>31</v>
      </c>
      <c r="P23" s="184">
        <f t="shared" si="6"/>
        <v>77.5</v>
      </c>
      <c r="Q23" s="184">
        <f t="shared" si="7"/>
        <v>500</v>
      </c>
      <c r="R23" s="189">
        <f t="shared" si="8"/>
        <v>83.333333333333343</v>
      </c>
      <c r="S23" s="22"/>
    </row>
    <row r="24" spans="1:19" ht="15.75" customHeight="1">
      <c r="A24" s="86">
        <v>16</v>
      </c>
      <c r="B24" s="241" t="s">
        <v>672</v>
      </c>
      <c r="C24" s="183">
        <v>31</v>
      </c>
      <c r="D24" s="237">
        <f t="shared" si="0"/>
        <v>77.5</v>
      </c>
      <c r="E24" s="193">
        <v>28</v>
      </c>
      <c r="F24" s="184">
        <f t="shared" si="1"/>
        <v>70</v>
      </c>
      <c r="G24" s="18"/>
      <c r="H24" s="22" t="str">
        <f t="shared" si="2"/>
        <v/>
      </c>
      <c r="I24" s="242">
        <v>30</v>
      </c>
      <c r="J24" s="195">
        <f t="shared" si="3"/>
        <v>75</v>
      </c>
      <c r="K24" s="243">
        <v>19</v>
      </c>
      <c r="L24" s="240">
        <f t="shared" si="4"/>
        <v>47.5</v>
      </c>
      <c r="M24" s="193">
        <v>32</v>
      </c>
      <c r="N24" s="184">
        <f t="shared" si="5"/>
        <v>80</v>
      </c>
      <c r="O24" s="184">
        <v>20</v>
      </c>
      <c r="P24" s="184">
        <f t="shared" si="6"/>
        <v>50</v>
      </c>
      <c r="Q24" s="184">
        <f t="shared" si="7"/>
        <v>400</v>
      </c>
      <c r="R24" s="189">
        <f t="shared" si="8"/>
        <v>66.666666666666657</v>
      </c>
      <c r="S24" s="22"/>
    </row>
    <row r="25" spans="1:19" ht="15.75" customHeight="1">
      <c r="A25" s="86">
        <v>17</v>
      </c>
      <c r="B25" s="241" t="s">
        <v>673</v>
      </c>
      <c r="C25" s="183">
        <v>36</v>
      </c>
      <c r="D25" s="237">
        <f t="shared" si="0"/>
        <v>90</v>
      </c>
      <c r="E25" s="193">
        <v>28</v>
      </c>
      <c r="F25" s="184">
        <f t="shared" si="1"/>
        <v>70</v>
      </c>
      <c r="G25" s="18"/>
      <c r="H25" s="22" t="str">
        <f t="shared" si="2"/>
        <v/>
      </c>
      <c r="I25" s="242">
        <v>14</v>
      </c>
      <c r="J25" s="245">
        <f t="shared" si="3"/>
        <v>35</v>
      </c>
      <c r="K25" s="243">
        <v>23</v>
      </c>
      <c r="L25" s="240">
        <f t="shared" si="4"/>
        <v>57.499999999999993</v>
      </c>
      <c r="M25" s="193">
        <v>30</v>
      </c>
      <c r="N25" s="184">
        <f t="shared" si="5"/>
        <v>75</v>
      </c>
      <c r="O25" s="184">
        <v>15</v>
      </c>
      <c r="P25" s="184">
        <f t="shared" si="6"/>
        <v>37.5</v>
      </c>
      <c r="Q25" s="184">
        <f t="shared" si="7"/>
        <v>365</v>
      </c>
      <c r="R25" s="229">
        <f t="shared" si="8"/>
        <v>60.833333333333329</v>
      </c>
      <c r="S25" s="22"/>
    </row>
    <row r="26" spans="1:19" ht="15.75" customHeight="1">
      <c r="A26" s="86">
        <v>18</v>
      </c>
      <c r="B26" s="241" t="s">
        <v>674</v>
      </c>
      <c r="C26" s="183">
        <v>36</v>
      </c>
      <c r="D26" s="237">
        <f t="shared" si="0"/>
        <v>90</v>
      </c>
      <c r="E26" s="193">
        <v>34</v>
      </c>
      <c r="F26" s="184">
        <f t="shared" si="1"/>
        <v>85</v>
      </c>
      <c r="G26" s="18"/>
      <c r="H26" s="22" t="str">
        <f t="shared" si="2"/>
        <v/>
      </c>
      <c r="I26" s="242">
        <v>34</v>
      </c>
      <c r="J26" s="195">
        <f t="shared" si="3"/>
        <v>85</v>
      </c>
      <c r="K26" s="243">
        <v>29</v>
      </c>
      <c r="L26" s="240">
        <f t="shared" si="4"/>
        <v>72.5</v>
      </c>
      <c r="M26" s="244">
        <v>33</v>
      </c>
      <c r="N26" s="184">
        <f t="shared" si="5"/>
        <v>82.5</v>
      </c>
      <c r="O26" s="184">
        <v>29</v>
      </c>
      <c r="P26" s="184">
        <f t="shared" si="6"/>
        <v>72.5</v>
      </c>
      <c r="Q26" s="184">
        <f t="shared" si="7"/>
        <v>487.5</v>
      </c>
      <c r="R26" s="189">
        <f t="shared" si="8"/>
        <v>81.25</v>
      </c>
      <c r="S26" s="22"/>
    </row>
    <row r="27" spans="1:19" ht="18">
      <c r="A27" s="86">
        <v>19</v>
      </c>
      <c r="B27" s="241" t="s">
        <v>675</v>
      </c>
      <c r="C27" s="183">
        <v>21</v>
      </c>
      <c r="D27" s="237">
        <f t="shared" si="0"/>
        <v>52.5</v>
      </c>
      <c r="E27" s="238">
        <v>19</v>
      </c>
      <c r="F27" s="184">
        <f t="shared" si="1"/>
        <v>47.5</v>
      </c>
      <c r="G27" s="18"/>
      <c r="H27" s="22" t="str">
        <f t="shared" si="2"/>
        <v/>
      </c>
      <c r="I27" s="242">
        <v>29</v>
      </c>
      <c r="J27" s="195">
        <f t="shared" si="3"/>
        <v>72.5</v>
      </c>
      <c r="K27" s="239">
        <v>17</v>
      </c>
      <c r="L27" s="247">
        <f t="shared" si="4"/>
        <v>42.5</v>
      </c>
      <c r="M27" s="244">
        <v>24</v>
      </c>
      <c r="N27" s="184">
        <f t="shared" si="5"/>
        <v>60</v>
      </c>
      <c r="O27" s="248">
        <v>15</v>
      </c>
      <c r="P27" s="184">
        <f t="shared" si="6"/>
        <v>37.5</v>
      </c>
      <c r="Q27" s="184">
        <f t="shared" si="7"/>
        <v>312.5</v>
      </c>
      <c r="R27" s="189">
        <f t="shared" si="8"/>
        <v>52.083333333333336</v>
      </c>
      <c r="S27" s="22"/>
    </row>
    <row r="28" spans="1:19" ht="18">
      <c r="A28" s="86">
        <v>20</v>
      </c>
      <c r="B28" s="241" t="s">
        <v>676</v>
      </c>
      <c r="C28" s="183">
        <v>34</v>
      </c>
      <c r="D28" s="237">
        <f t="shared" si="0"/>
        <v>85</v>
      </c>
      <c r="E28" s="193">
        <v>33</v>
      </c>
      <c r="F28" s="184">
        <f t="shared" si="1"/>
        <v>82.5</v>
      </c>
      <c r="G28" s="18"/>
      <c r="H28" s="22" t="str">
        <f t="shared" si="2"/>
        <v/>
      </c>
      <c r="I28" s="242">
        <v>32</v>
      </c>
      <c r="J28" s="195">
        <f t="shared" si="3"/>
        <v>80</v>
      </c>
      <c r="K28" s="243">
        <v>27</v>
      </c>
      <c r="L28" s="240">
        <f t="shared" si="4"/>
        <v>67.5</v>
      </c>
      <c r="M28" s="193">
        <v>35</v>
      </c>
      <c r="N28" s="184">
        <f t="shared" si="5"/>
        <v>87.5</v>
      </c>
      <c r="O28" s="184">
        <v>32</v>
      </c>
      <c r="P28" s="184">
        <f t="shared" si="6"/>
        <v>80</v>
      </c>
      <c r="Q28" s="184">
        <f t="shared" si="7"/>
        <v>482.5</v>
      </c>
      <c r="R28" s="189">
        <f t="shared" si="8"/>
        <v>80.416666666666671</v>
      </c>
      <c r="S28" s="22"/>
    </row>
    <row r="29" spans="1:19" ht="18">
      <c r="A29" s="86">
        <v>21</v>
      </c>
      <c r="B29" s="241" t="s">
        <v>677</v>
      </c>
      <c r="C29" s="183">
        <v>31</v>
      </c>
      <c r="D29" s="237">
        <f t="shared" si="0"/>
        <v>77.5</v>
      </c>
      <c r="E29" s="193">
        <v>27</v>
      </c>
      <c r="F29" s="184">
        <f t="shared" si="1"/>
        <v>67.5</v>
      </c>
      <c r="G29" s="18"/>
      <c r="H29" s="22" t="str">
        <f t="shared" si="2"/>
        <v/>
      </c>
      <c r="I29" s="242">
        <v>13</v>
      </c>
      <c r="J29" s="195">
        <f t="shared" si="3"/>
        <v>32.5</v>
      </c>
      <c r="K29" s="243">
        <v>18</v>
      </c>
      <c r="L29" s="240">
        <f t="shared" si="4"/>
        <v>45</v>
      </c>
      <c r="M29" s="244">
        <v>28</v>
      </c>
      <c r="N29" s="184">
        <f t="shared" si="5"/>
        <v>70</v>
      </c>
      <c r="O29" s="184">
        <v>21</v>
      </c>
      <c r="P29" s="184">
        <f t="shared" si="6"/>
        <v>52.5</v>
      </c>
      <c r="Q29" s="184">
        <f t="shared" si="7"/>
        <v>345</v>
      </c>
      <c r="R29" s="189">
        <f t="shared" si="8"/>
        <v>57.499999999999993</v>
      </c>
      <c r="S29" s="22"/>
    </row>
    <row r="30" spans="1:19" ht="18">
      <c r="A30" s="86">
        <v>22</v>
      </c>
      <c r="B30" s="241" t="s">
        <v>678</v>
      </c>
      <c r="C30" s="183">
        <v>38</v>
      </c>
      <c r="D30" s="237">
        <f t="shared" si="0"/>
        <v>95</v>
      </c>
      <c r="E30" s="193">
        <v>37</v>
      </c>
      <c r="F30" s="184">
        <f t="shared" si="1"/>
        <v>92.5</v>
      </c>
      <c r="G30" s="18"/>
      <c r="H30" s="22" t="str">
        <f t="shared" si="2"/>
        <v/>
      </c>
      <c r="I30" s="242">
        <v>38</v>
      </c>
      <c r="J30" s="195">
        <f t="shared" si="3"/>
        <v>95</v>
      </c>
      <c r="K30" s="243">
        <v>30</v>
      </c>
      <c r="L30" s="240">
        <f t="shared" si="4"/>
        <v>75</v>
      </c>
      <c r="M30" s="193">
        <v>37</v>
      </c>
      <c r="N30" s="184">
        <f t="shared" si="5"/>
        <v>92.5</v>
      </c>
      <c r="O30" s="184">
        <v>32</v>
      </c>
      <c r="P30" s="184">
        <f t="shared" si="6"/>
        <v>80</v>
      </c>
      <c r="Q30" s="184">
        <f t="shared" si="7"/>
        <v>530</v>
      </c>
      <c r="R30" s="189">
        <f t="shared" si="8"/>
        <v>88.333333333333329</v>
      </c>
      <c r="S30" s="22"/>
    </row>
    <row r="31" spans="1:19" ht="18">
      <c r="A31" s="86">
        <v>23</v>
      </c>
      <c r="B31" s="241" t="s">
        <v>679</v>
      </c>
      <c r="C31" s="183">
        <v>34</v>
      </c>
      <c r="D31" s="237">
        <f t="shared" si="0"/>
        <v>85</v>
      </c>
      <c r="E31" s="193">
        <v>23</v>
      </c>
      <c r="F31" s="184">
        <f t="shared" si="1"/>
        <v>57.499999999999993</v>
      </c>
      <c r="G31" s="38"/>
      <c r="H31" s="22" t="str">
        <f t="shared" si="2"/>
        <v/>
      </c>
      <c r="I31" s="249">
        <v>37</v>
      </c>
      <c r="J31" s="195">
        <f t="shared" si="3"/>
        <v>92.5</v>
      </c>
      <c r="K31" s="243">
        <v>18</v>
      </c>
      <c r="L31" s="240">
        <f t="shared" si="4"/>
        <v>45</v>
      </c>
      <c r="M31" s="244">
        <v>29</v>
      </c>
      <c r="N31" s="184">
        <f t="shared" si="5"/>
        <v>72.5</v>
      </c>
      <c r="O31" s="184">
        <v>23</v>
      </c>
      <c r="P31" s="184">
        <f t="shared" si="6"/>
        <v>57.499999999999993</v>
      </c>
      <c r="Q31" s="184">
        <f t="shared" si="7"/>
        <v>410</v>
      </c>
      <c r="R31" s="189">
        <f t="shared" si="8"/>
        <v>68.333333333333329</v>
      </c>
      <c r="S31" s="22"/>
    </row>
    <row r="32" spans="1:19" ht="18">
      <c r="A32" s="86">
        <v>24</v>
      </c>
      <c r="B32" s="241" t="s">
        <v>680</v>
      </c>
      <c r="C32" s="183">
        <v>37</v>
      </c>
      <c r="D32" s="237">
        <f t="shared" si="0"/>
        <v>92.5</v>
      </c>
      <c r="E32" s="213"/>
      <c r="F32" s="37" t="str">
        <f t="shared" si="1"/>
        <v/>
      </c>
      <c r="G32" s="67">
        <v>40</v>
      </c>
      <c r="H32" s="72">
        <f t="shared" si="2"/>
        <v>100</v>
      </c>
      <c r="I32" s="242">
        <v>34</v>
      </c>
      <c r="J32" s="195">
        <f t="shared" si="3"/>
        <v>85</v>
      </c>
      <c r="K32" s="250">
        <v>36</v>
      </c>
      <c r="L32" s="240">
        <f t="shared" si="4"/>
        <v>90</v>
      </c>
      <c r="M32" s="193">
        <v>38</v>
      </c>
      <c r="N32" s="184">
        <f t="shared" si="5"/>
        <v>95</v>
      </c>
      <c r="O32" s="184">
        <v>31</v>
      </c>
      <c r="P32" s="184">
        <f t="shared" si="6"/>
        <v>77.5</v>
      </c>
      <c r="Q32" s="184">
        <f t="shared" si="7"/>
        <v>540</v>
      </c>
      <c r="R32" s="189">
        <f t="shared" si="8"/>
        <v>90</v>
      </c>
      <c r="S32" s="22"/>
    </row>
    <row r="33" spans="1:19" ht="18">
      <c r="A33" s="86">
        <v>25</v>
      </c>
      <c r="B33" s="241" t="s">
        <v>681</v>
      </c>
      <c r="C33" s="183">
        <v>28</v>
      </c>
      <c r="D33" s="237">
        <f t="shared" si="0"/>
        <v>70</v>
      </c>
      <c r="E33" s="213"/>
      <c r="F33" s="37" t="str">
        <f t="shared" si="1"/>
        <v/>
      </c>
      <c r="G33" s="251">
        <v>28</v>
      </c>
      <c r="H33" s="72">
        <f t="shared" si="2"/>
        <v>70</v>
      </c>
      <c r="I33" s="246">
        <v>30</v>
      </c>
      <c r="J33" s="195">
        <f t="shared" si="3"/>
        <v>75</v>
      </c>
      <c r="K33" s="250">
        <v>11</v>
      </c>
      <c r="L33" s="240">
        <f t="shared" si="4"/>
        <v>27.500000000000004</v>
      </c>
      <c r="M33" s="244">
        <v>34</v>
      </c>
      <c r="N33" s="184">
        <f t="shared" si="5"/>
        <v>85</v>
      </c>
      <c r="O33" s="184">
        <v>16</v>
      </c>
      <c r="P33" s="184">
        <f t="shared" si="6"/>
        <v>40</v>
      </c>
      <c r="Q33" s="184">
        <f t="shared" si="7"/>
        <v>367.5</v>
      </c>
      <c r="R33" s="189">
        <f t="shared" si="8"/>
        <v>61.250000000000007</v>
      </c>
      <c r="S33" s="22"/>
    </row>
    <row r="34" spans="1:19" ht="18">
      <c r="A34" s="86">
        <v>26</v>
      </c>
      <c r="B34" s="236" t="s">
        <v>682</v>
      </c>
      <c r="C34" s="183">
        <v>27</v>
      </c>
      <c r="D34" s="237">
        <f t="shared" si="0"/>
        <v>67.5</v>
      </c>
      <c r="E34" s="213"/>
      <c r="F34" s="37" t="str">
        <f t="shared" si="1"/>
        <v/>
      </c>
      <c r="G34" s="67">
        <v>34</v>
      </c>
      <c r="H34" s="72">
        <f t="shared" si="2"/>
        <v>85</v>
      </c>
      <c r="I34" s="242">
        <v>25</v>
      </c>
      <c r="J34" s="195">
        <f t="shared" si="3"/>
        <v>62.5</v>
      </c>
      <c r="K34" s="250">
        <v>19</v>
      </c>
      <c r="L34" s="240">
        <f t="shared" si="4"/>
        <v>47.5</v>
      </c>
      <c r="M34" s="193">
        <v>22</v>
      </c>
      <c r="N34" s="184">
        <f t="shared" si="5"/>
        <v>55.000000000000007</v>
      </c>
      <c r="O34" s="184">
        <v>16</v>
      </c>
      <c r="P34" s="184">
        <f t="shared" si="6"/>
        <v>40</v>
      </c>
      <c r="Q34" s="184">
        <f t="shared" si="7"/>
        <v>357.5</v>
      </c>
      <c r="R34" s="189">
        <f t="shared" si="8"/>
        <v>59.583333333333336</v>
      </c>
      <c r="S34" s="22"/>
    </row>
    <row r="35" spans="1:19" ht="18">
      <c r="A35" s="86">
        <v>27</v>
      </c>
      <c r="B35" s="241" t="s">
        <v>683</v>
      </c>
      <c r="C35" s="183">
        <v>26</v>
      </c>
      <c r="D35" s="237">
        <f t="shared" si="0"/>
        <v>65</v>
      </c>
      <c r="E35" s="213"/>
      <c r="F35" s="37" t="str">
        <f t="shared" si="1"/>
        <v/>
      </c>
      <c r="G35" s="67">
        <v>39</v>
      </c>
      <c r="H35" s="72">
        <f t="shared" si="2"/>
        <v>97.5</v>
      </c>
      <c r="I35" s="242">
        <v>25</v>
      </c>
      <c r="J35" s="195">
        <f t="shared" si="3"/>
        <v>62.5</v>
      </c>
      <c r="K35" s="250">
        <v>13</v>
      </c>
      <c r="L35" s="240">
        <f t="shared" si="4"/>
        <v>32.5</v>
      </c>
      <c r="M35" s="193">
        <v>31</v>
      </c>
      <c r="N35" s="184">
        <f t="shared" si="5"/>
        <v>77.5</v>
      </c>
      <c r="O35" s="184">
        <v>18</v>
      </c>
      <c r="P35" s="184">
        <f t="shared" si="6"/>
        <v>45</v>
      </c>
      <c r="Q35" s="184">
        <f t="shared" si="7"/>
        <v>380</v>
      </c>
      <c r="R35" s="189">
        <f t="shared" si="8"/>
        <v>63.333333333333329</v>
      </c>
      <c r="S35" s="22"/>
    </row>
    <row r="36" spans="1:19" ht="18">
      <c r="A36" s="86">
        <v>28</v>
      </c>
      <c r="B36" s="241" t="s">
        <v>684</v>
      </c>
      <c r="C36" s="183">
        <v>38</v>
      </c>
      <c r="D36" s="237">
        <f t="shared" si="0"/>
        <v>95</v>
      </c>
      <c r="E36" s="213"/>
      <c r="F36" s="37" t="str">
        <f t="shared" si="1"/>
        <v/>
      </c>
      <c r="G36" s="67">
        <v>40</v>
      </c>
      <c r="H36" s="72">
        <f t="shared" si="2"/>
        <v>100</v>
      </c>
      <c r="I36" s="242">
        <v>39</v>
      </c>
      <c r="J36" s="195">
        <f t="shared" si="3"/>
        <v>97.5</v>
      </c>
      <c r="K36" s="250">
        <v>40</v>
      </c>
      <c r="L36" s="240">
        <f t="shared" si="4"/>
        <v>100</v>
      </c>
      <c r="M36" s="193">
        <v>39</v>
      </c>
      <c r="N36" s="184">
        <f t="shared" si="5"/>
        <v>97.5</v>
      </c>
      <c r="O36" s="184">
        <v>36</v>
      </c>
      <c r="P36" s="184">
        <f t="shared" si="6"/>
        <v>90</v>
      </c>
      <c r="Q36" s="184">
        <f t="shared" si="7"/>
        <v>580</v>
      </c>
      <c r="R36" s="189">
        <f t="shared" si="8"/>
        <v>96.666666666666671</v>
      </c>
      <c r="S36" s="22"/>
    </row>
    <row r="37" spans="1:19" ht="18">
      <c r="A37" s="86">
        <v>29</v>
      </c>
      <c r="B37" s="241" t="s">
        <v>685</v>
      </c>
      <c r="C37" s="183">
        <v>37</v>
      </c>
      <c r="D37" s="237">
        <f t="shared" si="0"/>
        <v>92.5</v>
      </c>
      <c r="E37" s="213"/>
      <c r="F37" s="37" t="str">
        <f t="shared" si="1"/>
        <v/>
      </c>
      <c r="G37" s="60">
        <v>40</v>
      </c>
      <c r="H37" s="72">
        <f t="shared" si="2"/>
        <v>100</v>
      </c>
      <c r="I37" s="242">
        <v>40</v>
      </c>
      <c r="J37" s="195">
        <f t="shared" si="3"/>
        <v>100</v>
      </c>
      <c r="K37" s="250">
        <v>38</v>
      </c>
      <c r="L37" s="240">
        <f t="shared" si="4"/>
        <v>95</v>
      </c>
      <c r="M37" s="193">
        <v>39</v>
      </c>
      <c r="N37" s="184">
        <f t="shared" si="5"/>
        <v>97.5</v>
      </c>
      <c r="O37" s="170">
        <v>39</v>
      </c>
      <c r="P37" s="184">
        <f t="shared" si="6"/>
        <v>97.5</v>
      </c>
      <c r="Q37" s="184">
        <f t="shared" si="7"/>
        <v>582.5</v>
      </c>
      <c r="R37" s="189">
        <f t="shared" si="8"/>
        <v>97.083333333333329</v>
      </c>
      <c r="S37" s="22"/>
    </row>
    <row r="38" spans="1:19" ht="18">
      <c r="A38" s="86">
        <v>30</v>
      </c>
      <c r="B38" s="241" t="s">
        <v>686</v>
      </c>
      <c r="C38" s="183">
        <v>30</v>
      </c>
      <c r="D38" s="237">
        <f t="shared" si="0"/>
        <v>75</v>
      </c>
      <c r="E38" s="213"/>
      <c r="F38" s="37" t="str">
        <f t="shared" si="1"/>
        <v/>
      </c>
      <c r="G38" s="67">
        <v>34</v>
      </c>
      <c r="H38" s="72">
        <f t="shared" si="2"/>
        <v>85</v>
      </c>
      <c r="I38" s="242">
        <v>35</v>
      </c>
      <c r="J38" s="195">
        <f t="shared" si="3"/>
        <v>87.5</v>
      </c>
      <c r="K38" s="250">
        <v>33</v>
      </c>
      <c r="L38" s="240">
        <f t="shared" si="4"/>
        <v>82.5</v>
      </c>
      <c r="M38" s="193">
        <v>35</v>
      </c>
      <c r="N38" s="184">
        <f t="shared" si="5"/>
        <v>87.5</v>
      </c>
      <c r="O38" s="248">
        <v>25</v>
      </c>
      <c r="P38" s="184">
        <f t="shared" si="6"/>
        <v>62.5</v>
      </c>
      <c r="Q38" s="184">
        <f t="shared" si="7"/>
        <v>480</v>
      </c>
      <c r="R38" s="189">
        <f t="shared" si="8"/>
        <v>80</v>
      </c>
      <c r="S38" s="22"/>
    </row>
    <row r="39" spans="1:19" ht="18">
      <c r="A39" s="86">
        <v>31</v>
      </c>
      <c r="B39" s="241" t="s">
        <v>687</v>
      </c>
      <c r="C39" s="183">
        <v>30</v>
      </c>
      <c r="D39" s="237">
        <f t="shared" si="0"/>
        <v>75</v>
      </c>
      <c r="E39" s="213"/>
      <c r="F39" s="37" t="str">
        <f t="shared" si="1"/>
        <v/>
      </c>
      <c r="G39" s="67">
        <v>40</v>
      </c>
      <c r="H39" s="72">
        <f t="shared" si="2"/>
        <v>100</v>
      </c>
      <c r="I39" s="242">
        <v>32</v>
      </c>
      <c r="J39" s="195">
        <f t="shared" si="3"/>
        <v>80</v>
      </c>
      <c r="K39" s="250">
        <v>21</v>
      </c>
      <c r="L39" s="240">
        <f t="shared" si="4"/>
        <v>52.5</v>
      </c>
      <c r="M39" s="193">
        <v>24</v>
      </c>
      <c r="N39" s="184">
        <f t="shared" si="5"/>
        <v>60</v>
      </c>
      <c r="O39" s="184">
        <v>25</v>
      </c>
      <c r="P39" s="184">
        <f t="shared" si="6"/>
        <v>62.5</v>
      </c>
      <c r="Q39" s="184">
        <f t="shared" si="7"/>
        <v>430</v>
      </c>
      <c r="R39" s="189">
        <f t="shared" si="8"/>
        <v>71.666666666666671</v>
      </c>
      <c r="S39" s="22"/>
    </row>
    <row r="40" spans="1:19" ht="18">
      <c r="A40" s="86">
        <v>32</v>
      </c>
      <c r="B40" s="241" t="s">
        <v>688</v>
      </c>
      <c r="C40" s="183">
        <v>35</v>
      </c>
      <c r="D40" s="237">
        <f t="shared" si="0"/>
        <v>87.5</v>
      </c>
      <c r="E40" s="213"/>
      <c r="F40" s="37" t="str">
        <f t="shared" si="1"/>
        <v/>
      </c>
      <c r="G40" s="67">
        <v>32</v>
      </c>
      <c r="H40" s="72">
        <f t="shared" si="2"/>
        <v>80</v>
      </c>
      <c r="I40" s="242">
        <v>32</v>
      </c>
      <c r="J40" s="195">
        <f t="shared" si="3"/>
        <v>80</v>
      </c>
      <c r="K40" s="250">
        <v>28</v>
      </c>
      <c r="L40" s="240">
        <f t="shared" si="4"/>
        <v>70</v>
      </c>
      <c r="M40" s="193">
        <v>32</v>
      </c>
      <c r="N40" s="184">
        <f t="shared" si="5"/>
        <v>80</v>
      </c>
      <c r="O40" s="184">
        <v>25</v>
      </c>
      <c r="P40" s="184">
        <f t="shared" si="6"/>
        <v>62.5</v>
      </c>
      <c r="Q40" s="184">
        <f t="shared" si="7"/>
        <v>460</v>
      </c>
      <c r="R40" s="189">
        <f t="shared" si="8"/>
        <v>76.666666666666671</v>
      </c>
      <c r="S40" s="22"/>
    </row>
    <row r="41" spans="1:19" ht="18">
      <c r="A41" s="86">
        <v>33</v>
      </c>
      <c r="B41" s="241" t="s">
        <v>689</v>
      </c>
      <c r="C41" s="183">
        <v>35</v>
      </c>
      <c r="D41" s="237">
        <f t="shared" si="0"/>
        <v>87.5</v>
      </c>
      <c r="E41" s="213"/>
      <c r="F41" s="37" t="str">
        <f t="shared" si="1"/>
        <v/>
      </c>
      <c r="G41" s="67">
        <v>40</v>
      </c>
      <c r="H41" s="72">
        <f t="shared" si="2"/>
        <v>100</v>
      </c>
      <c r="I41" s="242">
        <v>28</v>
      </c>
      <c r="J41" s="195">
        <f t="shared" si="3"/>
        <v>70</v>
      </c>
      <c r="K41" s="250">
        <v>37</v>
      </c>
      <c r="L41" s="240">
        <f t="shared" si="4"/>
        <v>92.5</v>
      </c>
      <c r="M41" s="193">
        <v>37</v>
      </c>
      <c r="N41" s="184">
        <f t="shared" si="5"/>
        <v>92.5</v>
      </c>
      <c r="O41" s="184">
        <v>38</v>
      </c>
      <c r="P41" s="184">
        <f t="shared" si="6"/>
        <v>95</v>
      </c>
      <c r="Q41" s="184">
        <f t="shared" si="7"/>
        <v>537.5</v>
      </c>
      <c r="R41" s="189">
        <f t="shared" si="8"/>
        <v>89.583333333333343</v>
      </c>
      <c r="S41" s="22"/>
    </row>
    <row r="42" spans="1:19" ht="18">
      <c r="A42" s="86">
        <v>34</v>
      </c>
      <c r="B42" s="241" t="s">
        <v>690</v>
      </c>
      <c r="C42" s="183">
        <v>38</v>
      </c>
      <c r="D42" s="237">
        <f t="shared" si="0"/>
        <v>95</v>
      </c>
      <c r="E42" s="213"/>
      <c r="F42" s="37" t="str">
        <f t="shared" si="1"/>
        <v/>
      </c>
      <c r="G42" s="67">
        <v>40</v>
      </c>
      <c r="H42" s="72">
        <f t="shared" si="2"/>
        <v>100</v>
      </c>
      <c r="I42" s="242">
        <v>39</v>
      </c>
      <c r="J42" s="195">
        <f t="shared" si="3"/>
        <v>97.5</v>
      </c>
      <c r="K42" s="250">
        <v>38</v>
      </c>
      <c r="L42" s="240">
        <f t="shared" si="4"/>
        <v>95</v>
      </c>
      <c r="M42" s="193">
        <v>38</v>
      </c>
      <c r="N42" s="184">
        <f t="shared" si="5"/>
        <v>95</v>
      </c>
      <c r="O42" s="184">
        <v>40</v>
      </c>
      <c r="P42" s="184">
        <f t="shared" si="6"/>
        <v>100</v>
      </c>
      <c r="Q42" s="184">
        <f t="shared" si="7"/>
        <v>582.5</v>
      </c>
      <c r="R42" s="189">
        <f t="shared" si="8"/>
        <v>97.083333333333329</v>
      </c>
      <c r="S42" s="22"/>
    </row>
    <row r="43" spans="1:19" ht="18">
      <c r="A43" s="86">
        <v>35</v>
      </c>
      <c r="B43" s="241" t="s">
        <v>691</v>
      </c>
      <c r="C43" s="183">
        <v>16</v>
      </c>
      <c r="D43" s="237">
        <f t="shared" si="0"/>
        <v>40</v>
      </c>
      <c r="E43" s="213"/>
      <c r="F43" s="37" t="str">
        <f t="shared" si="1"/>
        <v/>
      </c>
      <c r="G43" s="67">
        <v>24</v>
      </c>
      <c r="H43" s="72">
        <f t="shared" si="2"/>
        <v>60</v>
      </c>
      <c r="I43" s="242">
        <v>22</v>
      </c>
      <c r="J43" s="195">
        <f t="shared" si="3"/>
        <v>55.000000000000007</v>
      </c>
      <c r="K43" s="250">
        <v>26</v>
      </c>
      <c r="L43" s="240">
        <f t="shared" si="4"/>
        <v>65</v>
      </c>
      <c r="M43" s="193">
        <v>24</v>
      </c>
      <c r="N43" s="184">
        <f t="shared" si="5"/>
        <v>60</v>
      </c>
      <c r="O43" s="184">
        <v>16</v>
      </c>
      <c r="P43" s="184">
        <f t="shared" si="6"/>
        <v>40</v>
      </c>
      <c r="Q43" s="184">
        <f t="shared" si="7"/>
        <v>320</v>
      </c>
      <c r="R43" s="189">
        <f t="shared" si="8"/>
        <v>53.333333333333336</v>
      </c>
      <c r="S43" s="22"/>
    </row>
    <row r="44" spans="1:19" ht="18">
      <c r="A44" s="86">
        <v>36</v>
      </c>
      <c r="B44" s="241" t="s">
        <v>692</v>
      </c>
      <c r="C44" s="183">
        <v>22</v>
      </c>
      <c r="D44" s="237">
        <f t="shared" si="0"/>
        <v>55.000000000000007</v>
      </c>
      <c r="E44" s="213"/>
      <c r="F44" s="37" t="str">
        <f t="shared" si="1"/>
        <v/>
      </c>
      <c r="G44" s="252">
        <v>32</v>
      </c>
      <c r="H44" s="72">
        <f t="shared" si="2"/>
        <v>80</v>
      </c>
      <c r="I44" s="253">
        <v>24</v>
      </c>
      <c r="J44" s="245">
        <f t="shared" si="3"/>
        <v>60</v>
      </c>
      <c r="K44" s="250">
        <v>22</v>
      </c>
      <c r="L44" s="240">
        <f t="shared" si="4"/>
        <v>55.000000000000007</v>
      </c>
      <c r="M44" s="193">
        <v>28</v>
      </c>
      <c r="N44" s="184">
        <f t="shared" si="5"/>
        <v>70</v>
      </c>
      <c r="O44" s="184" t="s">
        <v>24</v>
      </c>
      <c r="P44" s="184" t="e">
        <f t="shared" si="6"/>
        <v>#NAME?</v>
      </c>
      <c r="Q44" s="184" t="e">
        <f t="shared" si="7"/>
        <v>#NAME?</v>
      </c>
      <c r="R44" s="229" t="e">
        <f t="shared" si="8"/>
        <v>#NAME?</v>
      </c>
      <c r="S44" s="22"/>
    </row>
    <row r="45" spans="1:19" ht="18">
      <c r="A45" s="86">
        <v>37</v>
      </c>
      <c r="B45" s="241" t="s">
        <v>693</v>
      </c>
      <c r="C45" s="183">
        <v>37</v>
      </c>
      <c r="D45" s="237">
        <f t="shared" si="0"/>
        <v>92.5</v>
      </c>
      <c r="E45" s="213"/>
      <c r="F45" s="37" t="str">
        <f t="shared" si="1"/>
        <v/>
      </c>
      <c r="G45" s="252">
        <v>40</v>
      </c>
      <c r="H45" s="72">
        <f t="shared" si="2"/>
        <v>100</v>
      </c>
      <c r="I45" s="253" t="s">
        <v>123</v>
      </c>
      <c r="J45" s="195" t="e">
        <f t="shared" si="3"/>
        <v>#NAME?</v>
      </c>
      <c r="K45" s="250">
        <v>30</v>
      </c>
      <c r="L45" s="240">
        <f t="shared" si="4"/>
        <v>75</v>
      </c>
      <c r="M45" s="193">
        <v>32</v>
      </c>
      <c r="N45" s="184">
        <f t="shared" si="5"/>
        <v>80</v>
      </c>
      <c r="O45" s="184">
        <v>23</v>
      </c>
      <c r="P45" s="184">
        <f t="shared" si="6"/>
        <v>57.499999999999993</v>
      </c>
      <c r="Q45" s="184" t="e">
        <f t="shared" si="7"/>
        <v>#NAME?</v>
      </c>
      <c r="R45" s="189" t="e">
        <f t="shared" si="8"/>
        <v>#NAME?</v>
      </c>
      <c r="S45" s="22"/>
    </row>
    <row r="46" spans="1:19" ht="18">
      <c r="A46" s="86">
        <v>38</v>
      </c>
      <c r="B46" s="22"/>
      <c r="C46" s="213"/>
      <c r="D46" s="232"/>
      <c r="E46" s="213"/>
      <c r="F46" s="37"/>
      <c r="G46" s="254"/>
      <c r="H46" s="254"/>
      <c r="I46" s="255"/>
      <c r="J46" s="38"/>
      <c r="K46" s="18"/>
      <c r="L46" s="40" t="str">
        <f t="shared" si="4"/>
        <v/>
      </c>
      <c r="M46" s="211"/>
      <c r="N46" s="170"/>
      <c r="O46" s="170"/>
      <c r="P46" s="37"/>
      <c r="Q46" s="37"/>
      <c r="R46" s="39"/>
      <c r="S46" s="22"/>
    </row>
    <row r="47" spans="1:19" ht="18">
      <c r="A47" s="86">
        <v>39</v>
      </c>
      <c r="B47" s="22"/>
      <c r="C47" s="213"/>
      <c r="D47" s="232"/>
      <c r="E47" s="213"/>
      <c r="F47" s="37"/>
      <c r="G47" s="254"/>
      <c r="H47" s="254"/>
      <c r="I47" s="255"/>
      <c r="J47" s="38"/>
      <c r="K47" s="18"/>
      <c r="L47" s="40" t="str">
        <f t="shared" si="4"/>
        <v/>
      </c>
      <c r="M47" s="211"/>
      <c r="N47" s="170"/>
      <c r="O47" s="170"/>
      <c r="P47" s="37"/>
      <c r="Q47" s="37"/>
      <c r="R47" s="39"/>
      <c r="S47" s="22"/>
    </row>
    <row r="48" spans="1:19" ht="18">
      <c r="A48" s="86">
        <v>40</v>
      </c>
      <c r="B48" s="22"/>
      <c r="C48" s="213"/>
      <c r="D48" s="232"/>
      <c r="E48" s="213"/>
      <c r="F48" s="37"/>
      <c r="G48" s="254"/>
      <c r="H48" s="254"/>
      <c r="I48" s="255"/>
      <c r="J48" s="38"/>
      <c r="K48" s="22"/>
      <c r="L48" s="40" t="str">
        <f t="shared" si="4"/>
        <v/>
      </c>
      <c r="M48" s="211"/>
      <c r="N48" s="170"/>
      <c r="O48" s="170"/>
      <c r="P48" s="37"/>
      <c r="Q48" s="37"/>
      <c r="R48" s="39"/>
      <c r="S48" s="22"/>
    </row>
    <row r="49" spans="1:19" ht="18">
      <c r="A49" s="86">
        <v>42</v>
      </c>
      <c r="B49" s="22"/>
      <c r="C49" s="22"/>
      <c r="D49" s="232"/>
      <c r="E49" s="22"/>
      <c r="F49" s="37"/>
      <c r="G49" s="22"/>
      <c r="H49" s="22"/>
      <c r="I49" s="22"/>
      <c r="J49" s="38"/>
      <c r="K49" s="22"/>
      <c r="L49" s="40" t="str">
        <f t="shared" si="4"/>
        <v/>
      </c>
      <c r="M49" s="73"/>
      <c r="N49" s="170"/>
      <c r="O49" s="170"/>
      <c r="P49" s="37"/>
      <c r="Q49" s="37"/>
      <c r="R49" s="39"/>
      <c r="S49" s="22"/>
    </row>
    <row r="50" spans="1:19" ht="18">
      <c r="A50" s="86">
        <v>43</v>
      </c>
      <c r="B50" s="22"/>
      <c r="C50" s="22"/>
      <c r="D50" s="232"/>
      <c r="E50" s="22"/>
      <c r="F50" s="37"/>
      <c r="G50" s="22"/>
      <c r="H50" s="22"/>
      <c r="I50" s="22"/>
      <c r="J50" s="38"/>
      <c r="K50" s="22"/>
      <c r="L50" s="40" t="str">
        <f t="shared" si="4"/>
        <v/>
      </c>
      <c r="M50" s="79"/>
      <c r="N50" s="170"/>
      <c r="O50" s="170"/>
      <c r="P50" s="37"/>
      <c r="Q50" s="37"/>
      <c r="R50" s="39"/>
      <c r="S50" s="22"/>
    </row>
    <row r="51" spans="1:19" ht="18">
      <c r="A51" s="86">
        <v>44</v>
      </c>
      <c r="B51" s="22"/>
      <c r="C51" s="22"/>
      <c r="D51" s="232"/>
      <c r="E51" s="22"/>
      <c r="F51" s="37"/>
      <c r="G51" s="22"/>
      <c r="H51" s="22"/>
      <c r="I51" s="22"/>
      <c r="J51" s="38"/>
      <c r="K51" s="22"/>
      <c r="L51" s="40" t="str">
        <f t="shared" si="4"/>
        <v/>
      </c>
      <c r="M51" s="79"/>
      <c r="N51" s="170"/>
      <c r="O51" s="170"/>
      <c r="P51" s="37"/>
      <c r="Q51" s="37"/>
      <c r="R51" s="39"/>
      <c r="S51" s="22"/>
    </row>
    <row r="52" spans="1:19" ht="18">
      <c r="A52" s="86">
        <v>45</v>
      </c>
      <c r="B52" s="22"/>
      <c r="C52" s="22"/>
      <c r="D52" s="232"/>
      <c r="E52" s="22"/>
      <c r="F52" s="37"/>
      <c r="G52" s="22"/>
      <c r="H52" s="22"/>
      <c r="I52" s="22"/>
      <c r="J52" s="38"/>
      <c r="K52" s="22"/>
      <c r="L52" s="40" t="str">
        <f t="shared" si="4"/>
        <v/>
      </c>
      <c r="M52" s="79"/>
      <c r="N52" s="170"/>
      <c r="O52" s="170"/>
      <c r="P52" s="37"/>
      <c r="Q52" s="37"/>
      <c r="R52" s="39"/>
      <c r="S52" s="22"/>
    </row>
    <row r="53" spans="1:19" ht="18">
      <c r="A53" s="86">
        <v>46</v>
      </c>
      <c r="B53" s="22"/>
      <c r="C53" s="37"/>
      <c r="D53" s="232"/>
      <c r="E53" s="37"/>
      <c r="F53" s="37"/>
      <c r="G53" s="38"/>
      <c r="H53" s="38"/>
      <c r="I53" s="38"/>
      <c r="J53" s="38"/>
      <c r="K53" s="22"/>
      <c r="L53" s="40" t="str">
        <f t="shared" si="4"/>
        <v/>
      </c>
      <c r="M53" s="170"/>
      <c r="N53" s="170"/>
      <c r="O53" s="170"/>
      <c r="P53" s="37"/>
      <c r="Q53" s="37"/>
      <c r="R53" s="39"/>
      <c r="S53" s="22"/>
    </row>
    <row r="54" spans="1:19" ht="18">
      <c r="A54" s="86">
        <v>47</v>
      </c>
      <c r="B54" s="22"/>
      <c r="C54" s="37"/>
      <c r="D54" s="256"/>
      <c r="E54" s="37"/>
      <c r="F54" s="37"/>
      <c r="G54" s="38"/>
      <c r="H54" s="38"/>
      <c r="I54" s="38"/>
      <c r="J54" s="38"/>
      <c r="K54" s="22"/>
      <c r="L54" s="40" t="str">
        <f t="shared" si="4"/>
        <v/>
      </c>
      <c r="M54" s="170"/>
      <c r="N54" s="170"/>
      <c r="O54" s="170"/>
      <c r="P54" s="37"/>
      <c r="Q54" s="37"/>
      <c r="R54" s="39"/>
      <c r="S54" s="22"/>
    </row>
    <row r="55" spans="1:19" ht="18">
      <c r="A55" s="86">
        <v>48</v>
      </c>
      <c r="B55" s="22"/>
      <c r="C55" s="37"/>
      <c r="D55" s="37"/>
      <c r="E55" s="37"/>
      <c r="F55" s="37"/>
      <c r="G55" s="38"/>
      <c r="H55" s="38"/>
      <c r="I55" s="38"/>
      <c r="J55" s="38"/>
      <c r="K55" s="22"/>
      <c r="L55" s="40" t="str">
        <f t="shared" si="4"/>
        <v/>
      </c>
      <c r="M55" s="170"/>
      <c r="N55" s="170"/>
      <c r="O55" s="170"/>
      <c r="P55" s="37"/>
      <c r="Q55" s="37"/>
      <c r="R55" s="39"/>
      <c r="S55" s="22"/>
    </row>
    <row r="56" spans="1:19" ht="18">
      <c r="A56" s="86">
        <v>49</v>
      </c>
      <c r="B56" s="22"/>
      <c r="C56" s="37"/>
      <c r="D56" s="37"/>
      <c r="E56" s="37"/>
      <c r="F56" s="37"/>
      <c r="G56" s="38"/>
      <c r="H56" s="38"/>
      <c r="I56" s="38"/>
      <c r="J56" s="38"/>
      <c r="K56" s="22"/>
      <c r="L56" s="40" t="str">
        <f t="shared" si="4"/>
        <v/>
      </c>
      <c r="M56" s="170"/>
      <c r="N56" s="170"/>
      <c r="O56" s="170"/>
      <c r="P56" s="37"/>
      <c r="Q56" s="37"/>
      <c r="R56" s="39"/>
      <c r="S56" s="22"/>
    </row>
    <row r="57" spans="1:19" ht="18">
      <c r="A57" s="86">
        <v>50</v>
      </c>
      <c r="B57" s="22"/>
      <c r="C57" s="37"/>
      <c r="D57" s="37"/>
      <c r="E57" s="37"/>
      <c r="F57" s="37"/>
      <c r="G57" s="38"/>
      <c r="H57" s="38"/>
      <c r="I57" s="38"/>
      <c r="J57" s="38"/>
      <c r="K57" s="22"/>
      <c r="L57" s="40" t="str">
        <f t="shared" si="4"/>
        <v/>
      </c>
      <c r="M57" s="170"/>
      <c r="N57" s="170"/>
      <c r="O57" s="170"/>
      <c r="P57" s="37"/>
      <c r="Q57" s="37"/>
      <c r="R57" s="39"/>
      <c r="S57" s="22"/>
    </row>
    <row r="58" spans="1:19" ht="17.399999999999999">
      <c r="A58" s="361" t="s">
        <v>70</v>
      </c>
      <c r="B58" s="362"/>
      <c r="C58" s="39"/>
      <c r="D58" s="37"/>
      <c r="E58" s="39"/>
      <c r="F58" s="39"/>
      <c r="G58" s="39"/>
      <c r="H58" s="39"/>
      <c r="I58" s="39"/>
      <c r="J58" s="39"/>
      <c r="K58" s="39"/>
      <c r="L58" s="40" t="str">
        <f t="shared" si="4"/>
        <v/>
      </c>
      <c r="M58" s="257"/>
      <c r="N58" s="257"/>
      <c r="O58" s="257"/>
      <c r="P58" s="39"/>
      <c r="Q58" s="39"/>
      <c r="R58" s="39"/>
      <c r="S58" s="39"/>
    </row>
    <row r="59" spans="1:19" ht="17.399999999999999">
      <c r="A59" s="422" t="s">
        <v>71</v>
      </c>
      <c r="B59" s="258" t="s">
        <v>72</v>
      </c>
      <c r="C59" s="359">
        <f>COUNTA(C9:C57)</f>
        <v>37</v>
      </c>
      <c r="D59" s="360"/>
      <c r="E59" s="359">
        <f>COUNTA(E9:E57)</f>
        <v>23</v>
      </c>
      <c r="F59" s="360"/>
      <c r="G59" s="359">
        <f>COUNTA(G9:G57)</f>
        <v>14</v>
      </c>
      <c r="H59" s="360"/>
      <c r="I59" s="359">
        <f>COUNTA(I9:I57)</f>
        <v>37</v>
      </c>
      <c r="J59" s="360"/>
      <c r="K59" s="359">
        <f>COUNTA(K9:K57)</f>
        <v>37</v>
      </c>
      <c r="L59" s="360"/>
      <c r="M59" s="359">
        <f>COUNTA(M9:M57)</f>
        <v>37</v>
      </c>
      <c r="N59" s="360"/>
      <c r="O59" s="359">
        <f>COUNTA(O9:O57)</f>
        <v>37</v>
      </c>
      <c r="P59" s="360"/>
      <c r="Q59" s="359" t="s">
        <v>15</v>
      </c>
      <c r="R59" s="378"/>
      <c r="S59" s="360"/>
    </row>
    <row r="60" spans="1:19" ht="17.399999999999999">
      <c r="A60" s="381"/>
      <c r="B60" s="259" t="s">
        <v>73</v>
      </c>
      <c r="C60" s="361">
        <f>C59-C61</f>
        <v>0</v>
      </c>
      <c r="D60" s="362"/>
      <c r="E60" s="361">
        <f>E59-E61</f>
        <v>0</v>
      </c>
      <c r="F60" s="362"/>
      <c r="G60" s="361">
        <f>G59-G61</f>
        <v>0</v>
      </c>
      <c r="H60" s="362"/>
      <c r="I60" s="361">
        <f>I59-I61</f>
        <v>1</v>
      </c>
      <c r="J60" s="362"/>
      <c r="K60" s="361">
        <f>K59-K61</f>
        <v>0</v>
      </c>
      <c r="L60" s="362"/>
      <c r="M60" s="361">
        <v>3</v>
      </c>
      <c r="N60" s="362"/>
      <c r="O60" s="361">
        <f>O59-O61</f>
        <v>2</v>
      </c>
      <c r="P60" s="362"/>
      <c r="Q60" s="361">
        <f>COUNTIF(T9:T57,0)</f>
        <v>0</v>
      </c>
      <c r="R60" s="364"/>
      <c r="S60" s="362"/>
    </row>
    <row r="61" spans="1:19" ht="17.399999999999999">
      <c r="A61" s="381"/>
      <c r="B61" s="260" t="s">
        <v>74</v>
      </c>
      <c r="C61" s="361">
        <f>COUNTIFS(D9:D57,"&gt;0")</f>
        <v>37</v>
      </c>
      <c r="D61" s="362"/>
      <c r="E61" s="361">
        <f>COUNTIFS(F9:F57,"&gt;0")</f>
        <v>23</v>
      </c>
      <c r="F61" s="362"/>
      <c r="G61" s="361">
        <f>COUNTIFS(H9:H57,"&gt;0")</f>
        <v>14</v>
      </c>
      <c r="H61" s="362"/>
      <c r="I61" s="361">
        <f>COUNTIFS(J9:J57,"&gt;0")</f>
        <v>36</v>
      </c>
      <c r="J61" s="362"/>
      <c r="K61" s="361">
        <f>COUNTIFS(L9:L57,"&gt;0")</f>
        <v>37</v>
      </c>
      <c r="L61" s="362"/>
      <c r="M61" s="361">
        <f>COUNTIFS(N9:N57,"&gt;0")</f>
        <v>37</v>
      </c>
      <c r="N61" s="362"/>
      <c r="O61" s="361">
        <f>COUNTIFS(P9:P57,"&gt;0")</f>
        <v>35</v>
      </c>
      <c r="P61" s="362"/>
      <c r="Q61" s="361">
        <f>COUNTIFS(R9:R57,"&gt;0")</f>
        <v>34</v>
      </c>
      <c r="R61" s="364"/>
      <c r="S61" s="362"/>
    </row>
    <row r="62" spans="1:19" ht="17.399999999999999">
      <c r="A62" s="381"/>
      <c r="B62" s="260" t="s">
        <v>75</v>
      </c>
      <c r="C62" s="361">
        <f>C61-C64</f>
        <v>37</v>
      </c>
      <c r="D62" s="362"/>
      <c r="E62" s="361">
        <f>E61-E64</f>
        <v>23</v>
      </c>
      <c r="F62" s="362"/>
      <c r="G62" s="361">
        <f>G61-G64</f>
        <v>14</v>
      </c>
      <c r="H62" s="362"/>
      <c r="I62" s="361">
        <f>I61-I64</f>
        <v>36</v>
      </c>
      <c r="J62" s="362"/>
      <c r="K62" s="361">
        <f>K61-K64</f>
        <v>36</v>
      </c>
      <c r="L62" s="362"/>
      <c r="M62" s="361">
        <f>M61-M64</f>
        <v>37</v>
      </c>
      <c r="N62" s="362"/>
      <c r="O62" s="361">
        <f>O61-O64</f>
        <v>35</v>
      </c>
      <c r="P62" s="362"/>
      <c r="Q62" s="361">
        <f>COUNTIF(S9:S57,"PASS")</f>
        <v>0</v>
      </c>
      <c r="R62" s="364"/>
      <c r="S62" s="362"/>
    </row>
    <row r="63" spans="1:19" ht="17.399999999999999">
      <c r="A63" s="381"/>
      <c r="B63" s="260" t="s">
        <v>76</v>
      </c>
      <c r="C63" s="363">
        <f>IF(C61=0,"",(C62/C61)*100)</f>
        <v>100</v>
      </c>
      <c r="D63" s="362"/>
      <c r="E63" s="363">
        <f>IF(E61=0,"",(E62/E61)*100)</f>
        <v>100</v>
      </c>
      <c r="F63" s="362"/>
      <c r="G63" s="363">
        <f>IF(G61=0,"",(G62/G61)*100)</f>
        <v>100</v>
      </c>
      <c r="H63" s="362"/>
      <c r="I63" s="363">
        <f>IF(I61=0,"",(I62/I61)*100)</f>
        <v>100</v>
      </c>
      <c r="J63" s="362"/>
      <c r="K63" s="363">
        <f>IF(K61=0,"",(K62/K61)*100)</f>
        <v>97.297297297297305</v>
      </c>
      <c r="L63" s="362"/>
      <c r="M63" s="363">
        <f>IF(M61=0,"",(M62/M61)*100)</f>
        <v>100</v>
      </c>
      <c r="N63" s="362"/>
      <c r="O63" s="363">
        <f>IF(O61=0,"",(O62/O61)*100)</f>
        <v>100</v>
      </c>
      <c r="P63" s="362"/>
      <c r="Q63" s="363">
        <f>IF(Q61=0,"",(Q62/Q61)*100)</f>
        <v>0</v>
      </c>
      <c r="R63" s="364"/>
      <c r="S63" s="362"/>
    </row>
    <row r="64" spans="1:19" ht="17.399999999999999">
      <c r="A64" s="381"/>
      <c r="B64" s="260" t="s">
        <v>77</v>
      </c>
      <c r="C64" s="361">
        <f>COUNTIFS(D9:D57,"&lt;=32",D9:D57,"&gt; 0")</f>
        <v>0</v>
      </c>
      <c r="D64" s="362"/>
      <c r="E64" s="361">
        <f>COUNTIFS(F9:F57,"&lt;=32",F9:F57,"&gt; 0")</f>
        <v>0</v>
      </c>
      <c r="F64" s="362"/>
      <c r="G64" s="361">
        <f>COUNTIFS(H9:H57,"&lt;=32",H9:H57,"&gt; 0")</f>
        <v>0</v>
      </c>
      <c r="H64" s="362"/>
      <c r="I64" s="361">
        <f>COUNTIFS(J9:J57,"&lt;=32",J9:J57,"&gt; 0")</f>
        <v>0</v>
      </c>
      <c r="J64" s="362"/>
      <c r="K64" s="361">
        <f>COUNTIFS(L9:L57,"&lt;=32",L9:L57,"&gt; 0")</f>
        <v>1</v>
      </c>
      <c r="L64" s="362"/>
      <c r="M64" s="361">
        <f>COUNTIFS(N9:N57,"&lt;=32",N9:N57,"&gt; 0")</f>
        <v>0</v>
      </c>
      <c r="N64" s="362"/>
      <c r="O64" s="361">
        <f>COUNTIFS(P9:P57,"&lt;=32",P9:P57,"&gt; 0")</f>
        <v>0</v>
      </c>
      <c r="P64" s="362"/>
      <c r="Q64" s="361">
        <f>COUNTIFS(R9:R57,"&lt;=32",R9:R57,"&gt; 0")</f>
        <v>0</v>
      </c>
      <c r="R64" s="364"/>
      <c r="S64" s="362"/>
    </row>
    <row r="65" spans="1:19" ht="17.399999999999999">
      <c r="A65" s="381"/>
      <c r="B65" s="260" t="s">
        <v>78</v>
      </c>
      <c r="C65" s="361">
        <f>COUNTIFS(D9:D57,"&gt;=32.1",D9:D57,"&lt;=44")</f>
        <v>1</v>
      </c>
      <c r="D65" s="362"/>
      <c r="E65" s="361">
        <f>COUNTIFS(F9:F57,"&gt;=32.1",F9:F57,"&lt;=44")</f>
        <v>0</v>
      </c>
      <c r="F65" s="362"/>
      <c r="G65" s="361">
        <f>COUNTIFS(H9:H57,"&gt;=32.1",H9:H57,"&lt;=44")</f>
        <v>0</v>
      </c>
      <c r="H65" s="362"/>
      <c r="I65" s="361">
        <f>COUNTIFS(J9:J57,"&gt;=32.1",J9:J57,"&lt;=44")</f>
        <v>3</v>
      </c>
      <c r="J65" s="362"/>
      <c r="K65" s="361">
        <f>COUNTIFS(L9:L57,"&gt;=32.1",L9:L57,"&lt;=44")</f>
        <v>3</v>
      </c>
      <c r="L65" s="362"/>
      <c r="M65" s="361">
        <f>COUNTIFS(N9:N57,"&gt;=32.1",N9:N57,"&lt;=44")</f>
        <v>0</v>
      </c>
      <c r="N65" s="362"/>
      <c r="O65" s="361">
        <f>COUNTIFS(P9:P57,"&gt;=32.1",P9:P57,"&lt;=44")</f>
        <v>6</v>
      </c>
      <c r="P65" s="362"/>
      <c r="Q65" s="361">
        <f>COUNTIFS(R9:R57,"&gt;=32.1",R9:R57,"&lt;=44")</f>
        <v>0</v>
      </c>
      <c r="R65" s="364"/>
      <c r="S65" s="362"/>
    </row>
    <row r="66" spans="1:19" ht="17.399999999999999">
      <c r="A66" s="381"/>
      <c r="B66" s="260" t="s">
        <v>79</v>
      </c>
      <c r="C66" s="361">
        <f>COUNTIFS(D9:D57,"&gt;=44.1",D9:D57,"&lt;=59")</f>
        <v>2</v>
      </c>
      <c r="D66" s="362"/>
      <c r="E66" s="361">
        <f>COUNTIFS(F9:F57,"&gt;=44.1",F9:F57,"&lt;=59")</f>
        <v>4</v>
      </c>
      <c r="F66" s="362"/>
      <c r="G66" s="361">
        <f>COUNTIFS(H9:H57,"&gt;=44.1",H9:H57,"&lt;=59")</f>
        <v>0</v>
      </c>
      <c r="H66" s="362"/>
      <c r="I66" s="361">
        <f>COUNTIFS(J9:J57,"&gt;=44.1",J9:J57,"&lt;=59")</f>
        <v>1</v>
      </c>
      <c r="J66" s="362"/>
      <c r="K66" s="361">
        <f>COUNTIFS(L9:L57,"&gt;=44.1",L9:L57,"&lt;=59")</f>
        <v>8</v>
      </c>
      <c r="L66" s="362"/>
      <c r="M66" s="361">
        <f>COUNTIFS(N9:N57,"&gt;=44.1",N9:N57,"&lt;=59")</f>
        <v>1</v>
      </c>
      <c r="N66" s="362"/>
      <c r="O66" s="361">
        <f>COUNTIFS(P9:P57,"&gt;=44.1",P9:P57,"&lt;=59")</f>
        <v>6</v>
      </c>
      <c r="P66" s="362"/>
      <c r="Q66" s="361">
        <f>COUNTIFS(R9:R57,"&gt;=44.1",R9:R57,"&lt;=59")</f>
        <v>4</v>
      </c>
      <c r="R66" s="364"/>
      <c r="S66" s="362"/>
    </row>
    <row r="67" spans="1:19" ht="17.399999999999999">
      <c r="A67" s="381"/>
      <c r="B67" s="260" t="s">
        <v>80</v>
      </c>
      <c r="C67" s="361">
        <f>COUNTIFS(D9:D57,"&gt;=59.1",D9:D57,"&lt;=74")</f>
        <v>4</v>
      </c>
      <c r="D67" s="362"/>
      <c r="E67" s="361">
        <f>COUNTIFS(F9:F57,"&gt;=59.1",F9:F57,"&lt;=74")</f>
        <v>6</v>
      </c>
      <c r="F67" s="362"/>
      <c r="G67" s="361">
        <f>COUNTIFS(H9:H57,"&gt;=59.1",H9:H57,"&lt;=74")</f>
        <v>2</v>
      </c>
      <c r="H67" s="362"/>
      <c r="I67" s="361">
        <f>COUNTIFS(J9:J57,"&gt;=59.1",J9:J57,"&lt;=74")</f>
        <v>9</v>
      </c>
      <c r="J67" s="362"/>
      <c r="K67" s="361">
        <f>COUNTIFS(L9:L57,"&gt;=59.1",L9:L57,"&lt;=74")</f>
        <v>6</v>
      </c>
      <c r="L67" s="362"/>
      <c r="M67" s="361">
        <f>COUNTIFS(N9:N57,"&gt;=59.1",N9:N57,"&lt;=74")</f>
        <v>7</v>
      </c>
      <c r="N67" s="362"/>
      <c r="O67" s="361">
        <f>COUNTIFS(P9:P57,"&gt;=59.1",P9:P57,"&lt;=74")</f>
        <v>8</v>
      </c>
      <c r="P67" s="362"/>
      <c r="Q67" s="361">
        <f>COUNTIFS(R9:R57,"&gt;=59.1",R9:R57,"&lt;=74")</f>
        <v>9</v>
      </c>
      <c r="R67" s="364"/>
      <c r="S67" s="362"/>
    </row>
    <row r="68" spans="1:19" ht="17.399999999999999">
      <c r="A68" s="381"/>
      <c r="B68" s="260" t="s">
        <v>81</v>
      </c>
      <c r="C68" s="361">
        <f>COUNTIFS(D9:D57,"&gt;=74.1",D9:D57,"&lt;89")</f>
        <v>14</v>
      </c>
      <c r="D68" s="362"/>
      <c r="E68" s="361">
        <f>COUNTIFS(F9:F57,"&gt;=74.1",F9:F57,"&lt;89")</f>
        <v>8</v>
      </c>
      <c r="F68" s="362"/>
      <c r="G68" s="361">
        <f>COUNTIFS(H9:H57,"&gt;=74.1",H9:H57,"&lt;89")</f>
        <v>4</v>
      </c>
      <c r="H68" s="362"/>
      <c r="I68" s="361">
        <f>COUNTIFS(J9:J57,"&gt;=74.1",J9:J57,"&lt;89")</f>
        <v>11</v>
      </c>
      <c r="J68" s="362"/>
      <c r="K68" s="361">
        <f>COUNTIFS(L9:L57,"&gt;=74.1",L9:L57,"&lt;89")</f>
        <v>10</v>
      </c>
      <c r="L68" s="362"/>
      <c r="M68" s="361">
        <f>COUNTIFS(N9:N57,"&gt;=74.1",N9:N57,"&lt;89")</f>
        <v>16</v>
      </c>
      <c r="N68" s="362"/>
      <c r="O68" s="361">
        <f>COUNTIFS(P9:P57,"&gt;=74.1",P9:P57,"&lt;89")</f>
        <v>11</v>
      </c>
      <c r="P68" s="362"/>
      <c r="Q68" s="361">
        <f>COUNTIFS(R9:R57,"&gt;=74.1",R9:R57,"&lt;89")</f>
        <v>14</v>
      </c>
      <c r="R68" s="364"/>
      <c r="S68" s="362"/>
    </row>
    <row r="69" spans="1:19" ht="17.399999999999999">
      <c r="A69" s="382"/>
      <c r="B69" s="261" t="s">
        <v>82</v>
      </c>
      <c r="C69" s="370">
        <f>COUNTIF(D9:D57,"&gt;=89.1")</f>
        <v>16</v>
      </c>
      <c r="D69" s="371"/>
      <c r="E69" s="370">
        <f>COUNTIF(F9:F57,"&gt;=89.1")</f>
        <v>5</v>
      </c>
      <c r="F69" s="371"/>
      <c r="G69" s="370">
        <f>COUNTIF(H9:H57,"&gt;=89.1")</f>
        <v>8</v>
      </c>
      <c r="H69" s="371"/>
      <c r="I69" s="370">
        <f>COUNTIF(J9:J57,"&gt;=89.1")</f>
        <v>12</v>
      </c>
      <c r="J69" s="371"/>
      <c r="K69" s="370">
        <f>COUNTIF(L9:L57,"&gt;=89.1")</f>
        <v>9</v>
      </c>
      <c r="L69" s="371"/>
      <c r="M69" s="370">
        <f>COUNTIF(N9:N57,"&gt;=89.1")</f>
        <v>13</v>
      </c>
      <c r="N69" s="371"/>
      <c r="O69" s="370">
        <f>COUNTIF(P9:P57,"&gt;=89.1")</f>
        <v>4</v>
      </c>
      <c r="P69" s="371"/>
      <c r="Q69" s="361">
        <f>COUNTIF(R9:R57,"&gt;=89.1")</f>
        <v>7</v>
      </c>
      <c r="R69" s="364"/>
      <c r="S69" s="362"/>
    </row>
    <row r="70" spans="1:19" ht="18">
      <c r="A70" s="414" t="s">
        <v>83</v>
      </c>
      <c r="B70" s="364"/>
      <c r="C70" s="421" t="s">
        <v>694</v>
      </c>
      <c r="D70" s="362"/>
      <c r="E70" s="372"/>
      <c r="F70" s="362"/>
      <c r="G70" s="22"/>
      <c r="H70" s="22"/>
      <c r="I70" s="372"/>
      <c r="J70" s="362"/>
      <c r="K70" s="372"/>
      <c r="L70" s="362"/>
      <c r="M70" s="419"/>
      <c r="N70" s="362"/>
      <c r="O70" s="419"/>
      <c r="P70" s="362"/>
      <c r="Q70" s="414" t="s">
        <v>84</v>
      </c>
      <c r="R70" s="364"/>
      <c r="S70" s="263">
        <f>IF(Q61=0,"",Q60/Q61*100)</f>
        <v>0</v>
      </c>
    </row>
    <row r="71" spans="1:19" ht="14.4">
      <c r="A71" s="398" t="s">
        <v>85</v>
      </c>
      <c r="B71" s="369"/>
      <c r="C71" s="390"/>
      <c r="D71" s="369"/>
      <c r="E71" s="369"/>
      <c r="F71" s="369"/>
      <c r="G71" s="369"/>
      <c r="H71" s="369"/>
      <c r="I71" s="369"/>
      <c r="J71" s="369"/>
      <c r="K71" s="369"/>
      <c r="L71" s="369"/>
      <c r="M71" s="369"/>
      <c r="N71" s="369"/>
      <c r="O71" s="420"/>
      <c r="P71" s="369"/>
      <c r="Q71" s="369"/>
      <c r="R71" s="369"/>
      <c r="S71" s="369"/>
    </row>
    <row r="72" spans="1:19" ht="13.2">
      <c r="M72" s="85"/>
      <c r="N72" s="85"/>
      <c r="O72" s="85"/>
    </row>
    <row r="73" spans="1:19" ht="13.2">
      <c r="M73" s="85"/>
      <c r="N73" s="85"/>
      <c r="O73" s="85"/>
    </row>
    <row r="74" spans="1:19" ht="13.2">
      <c r="M74" s="85"/>
      <c r="N74" s="85"/>
      <c r="O74" s="85"/>
    </row>
    <row r="75" spans="1:19" ht="13.2">
      <c r="M75" s="85"/>
      <c r="N75" s="85"/>
      <c r="O75" s="85"/>
    </row>
    <row r="76" spans="1:19" ht="13.2">
      <c r="M76" s="85"/>
      <c r="N76" s="85"/>
      <c r="O76" s="85"/>
    </row>
    <row r="77" spans="1:19" ht="13.2">
      <c r="M77" s="85"/>
      <c r="N77" s="85"/>
      <c r="O77" s="85"/>
    </row>
    <row r="78" spans="1:19" ht="13.2">
      <c r="M78" s="85"/>
      <c r="N78" s="85"/>
      <c r="O78" s="85"/>
    </row>
    <row r="79" spans="1:19" ht="13.2">
      <c r="M79" s="85"/>
      <c r="N79" s="85"/>
      <c r="O79" s="85"/>
    </row>
    <row r="80" spans="1:19" ht="13.2">
      <c r="M80" s="85"/>
      <c r="N80" s="85"/>
      <c r="O80" s="85"/>
    </row>
    <row r="81" spans="13:15" ht="13.2">
      <c r="M81" s="85"/>
      <c r="N81" s="85"/>
      <c r="O81" s="85"/>
    </row>
    <row r="82" spans="13:15" ht="13.2">
      <c r="M82" s="85"/>
      <c r="N82" s="85"/>
      <c r="O82" s="85"/>
    </row>
    <row r="83" spans="13:15" ht="13.2">
      <c r="M83" s="85"/>
      <c r="N83" s="85"/>
      <c r="O83" s="85"/>
    </row>
    <row r="84" spans="13:15" ht="13.2">
      <c r="M84" s="85"/>
      <c r="N84" s="85"/>
      <c r="O84" s="85"/>
    </row>
    <row r="85" spans="13:15" ht="13.2">
      <c r="M85" s="85"/>
      <c r="N85" s="85"/>
      <c r="O85" s="85"/>
    </row>
    <row r="86" spans="13:15" ht="13.2">
      <c r="M86" s="85"/>
      <c r="N86" s="85"/>
      <c r="O86" s="85"/>
    </row>
    <row r="87" spans="13:15" ht="13.2">
      <c r="M87" s="85"/>
      <c r="N87" s="85"/>
      <c r="O87" s="85"/>
    </row>
    <row r="88" spans="13:15" ht="13.2">
      <c r="M88" s="85"/>
      <c r="N88" s="85"/>
      <c r="O88" s="85"/>
    </row>
    <row r="89" spans="13:15" ht="13.2">
      <c r="M89" s="85"/>
      <c r="N89" s="85"/>
      <c r="O89" s="85"/>
    </row>
    <row r="90" spans="13:15" ht="13.2">
      <c r="M90" s="85"/>
      <c r="N90" s="85"/>
      <c r="O90" s="85"/>
    </row>
    <row r="91" spans="13:15" ht="13.2">
      <c r="M91" s="85"/>
      <c r="N91" s="85"/>
      <c r="O91" s="85"/>
    </row>
    <row r="92" spans="13:15" ht="13.2">
      <c r="M92" s="85"/>
      <c r="N92" s="85"/>
      <c r="O92" s="85"/>
    </row>
    <row r="93" spans="13:15" ht="13.2">
      <c r="M93" s="85"/>
      <c r="N93" s="85"/>
      <c r="O93" s="85"/>
    </row>
    <row r="94" spans="13:15" ht="13.2">
      <c r="M94" s="85"/>
      <c r="N94" s="85"/>
      <c r="O94" s="85"/>
    </row>
    <row r="95" spans="13:15" ht="13.2">
      <c r="M95" s="85"/>
      <c r="N95" s="85"/>
      <c r="O95" s="85"/>
    </row>
    <row r="96" spans="13:15" ht="13.2">
      <c r="M96" s="85"/>
      <c r="N96" s="85"/>
      <c r="O96" s="85"/>
    </row>
    <row r="97" spans="13:15" ht="13.2">
      <c r="M97" s="85"/>
      <c r="N97" s="85"/>
      <c r="O97" s="85"/>
    </row>
    <row r="98" spans="13:15" ht="13.2">
      <c r="M98" s="85"/>
      <c r="N98" s="85"/>
      <c r="O98" s="85"/>
    </row>
    <row r="99" spans="13:15" ht="13.2">
      <c r="M99" s="85"/>
      <c r="N99" s="85"/>
      <c r="O99" s="85"/>
    </row>
    <row r="100" spans="13:15" ht="13.2">
      <c r="M100" s="85"/>
      <c r="N100" s="85"/>
      <c r="O100" s="85"/>
    </row>
    <row r="101" spans="13:15" ht="13.2">
      <c r="M101" s="85"/>
      <c r="N101" s="85"/>
      <c r="O101" s="85"/>
    </row>
    <row r="102" spans="13:15" ht="13.2">
      <c r="M102" s="85"/>
      <c r="N102" s="85"/>
      <c r="O102" s="85"/>
    </row>
    <row r="103" spans="13:15" ht="13.2">
      <c r="M103" s="85"/>
      <c r="N103" s="85"/>
      <c r="O103" s="85"/>
    </row>
    <row r="104" spans="13:15" ht="13.2">
      <c r="M104" s="85"/>
      <c r="N104" s="85"/>
      <c r="O104" s="85"/>
    </row>
    <row r="105" spans="13:15" ht="13.2">
      <c r="M105" s="85"/>
      <c r="N105" s="85"/>
      <c r="O105" s="85"/>
    </row>
    <row r="106" spans="13:15" ht="13.2">
      <c r="M106" s="85"/>
      <c r="N106" s="85"/>
      <c r="O106" s="85"/>
    </row>
    <row r="107" spans="13:15" ht="13.2">
      <c r="M107" s="85"/>
      <c r="N107" s="85"/>
      <c r="O107" s="85"/>
    </row>
    <row r="108" spans="13:15" ht="13.2">
      <c r="M108" s="85"/>
      <c r="N108" s="85"/>
      <c r="O108" s="85"/>
    </row>
    <row r="109" spans="13:15" ht="13.2">
      <c r="M109" s="85"/>
      <c r="N109" s="85"/>
      <c r="O109" s="85"/>
    </row>
    <row r="110" spans="13:15" ht="13.2">
      <c r="M110" s="85"/>
      <c r="N110" s="85"/>
      <c r="O110" s="85"/>
    </row>
    <row r="111" spans="13:15" ht="13.2">
      <c r="M111" s="85"/>
      <c r="N111" s="85"/>
      <c r="O111" s="85"/>
    </row>
    <row r="112" spans="13:15" ht="13.2">
      <c r="M112" s="85"/>
      <c r="N112" s="85"/>
      <c r="O112" s="85"/>
    </row>
    <row r="113" spans="13:15" ht="13.2">
      <c r="M113" s="85"/>
      <c r="N113" s="85"/>
      <c r="O113" s="85"/>
    </row>
    <row r="114" spans="13:15" ht="13.2">
      <c r="M114" s="85"/>
      <c r="N114" s="85"/>
      <c r="O114" s="85"/>
    </row>
    <row r="115" spans="13:15" ht="13.2">
      <c r="M115" s="85"/>
      <c r="N115" s="85"/>
      <c r="O115" s="85"/>
    </row>
    <row r="116" spans="13:15" ht="13.2">
      <c r="M116" s="85"/>
      <c r="N116" s="85"/>
      <c r="O116" s="85"/>
    </row>
    <row r="117" spans="13:15" ht="13.2">
      <c r="M117" s="85"/>
      <c r="N117" s="85"/>
      <c r="O117" s="85"/>
    </row>
    <row r="118" spans="13:15" ht="13.2">
      <c r="M118" s="85"/>
      <c r="N118" s="85"/>
      <c r="O118" s="85"/>
    </row>
    <row r="119" spans="13:15" ht="13.2">
      <c r="M119" s="85"/>
      <c r="N119" s="85"/>
      <c r="O119" s="85"/>
    </row>
    <row r="120" spans="13:15" ht="13.2">
      <c r="M120" s="85"/>
      <c r="N120" s="85"/>
      <c r="O120" s="85"/>
    </row>
    <row r="121" spans="13:15" ht="13.2">
      <c r="M121" s="85"/>
      <c r="N121" s="85"/>
      <c r="O121" s="85"/>
    </row>
    <row r="122" spans="13:15" ht="13.2">
      <c r="M122" s="85"/>
      <c r="N122" s="85"/>
      <c r="O122" s="85"/>
    </row>
    <row r="123" spans="13:15" ht="13.2">
      <c r="M123" s="85"/>
      <c r="N123" s="85"/>
      <c r="O123" s="85"/>
    </row>
    <row r="124" spans="13:15" ht="13.2">
      <c r="M124" s="85"/>
      <c r="N124" s="85"/>
      <c r="O124" s="85"/>
    </row>
    <row r="125" spans="13:15" ht="13.2">
      <c r="M125" s="85"/>
      <c r="N125" s="85"/>
      <c r="O125" s="85"/>
    </row>
    <row r="126" spans="13:15" ht="13.2">
      <c r="M126" s="85"/>
      <c r="N126" s="85"/>
      <c r="O126" s="85"/>
    </row>
    <row r="127" spans="13:15" ht="13.2">
      <c r="M127" s="85"/>
      <c r="N127" s="85"/>
      <c r="O127" s="85"/>
    </row>
    <row r="128" spans="13:15" ht="13.2">
      <c r="M128" s="85"/>
      <c r="N128" s="85"/>
      <c r="O128" s="85"/>
    </row>
    <row r="129" spans="13:15" ht="13.2">
      <c r="M129" s="85"/>
      <c r="N129" s="85"/>
      <c r="O129" s="85"/>
    </row>
    <row r="130" spans="13:15" ht="13.2">
      <c r="M130" s="85"/>
      <c r="N130" s="85"/>
      <c r="O130" s="85"/>
    </row>
    <row r="131" spans="13:15" ht="13.2">
      <c r="M131" s="85"/>
      <c r="N131" s="85"/>
      <c r="O131" s="85"/>
    </row>
    <row r="132" spans="13:15" ht="13.2">
      <c r="M132" s="85"/>
      <c r="N132" s="85"/>
      <c r="O132" s="85"/>
    </row>
    <row r="133" spans="13:15" ht="13.2">
      <c r="M133" s="85"/>
      <c r="N133" s="85"/>
      <c r="O133" s="85"/>
    </row>
    <row r="134" spans="13:15" ht="13.2">
      <c r="M134" s="85"/>
      <c r="N134" s="85"/>
      <c r="O134" s="85"/>
    </row>
    <row r="135" spans="13:15" ht="13.2">
      <c r="M135" s="85"/>
      <c r="N135" s="85"/>
      <c r="O135" s="85"/>
    </row>
    <row r="136" spans="13:15" ht="13.2">
      <c r="M136" s="85"/>
      <c r="N136" s="85"/>
      <c r="O136" s="85"/>
    </row>
    <row r="137" spans="13:15" ht="13.2">
      <c r="M137" s="85"/>
      <c r="N137" s="85"/>
      <c r="O137" s="85"/>
    </row>
    <row r="138" spans="13:15" ht="13.2">
      <c r="M138" s="85"/>
      <c r="N138" s="85"/>
      <c r="O138" s="85"/>
    </row>
    <row r="139" spans="13:15" ht="13.2">
      <c r="M139" s="85"/>
      <c r="N139" s="85"/>
      <c r="O139" s="85"/>
    </row>
    <row r="140" spans="13:15" ht="13.2">
      <c r="M140" s="85"/>
      <c r="N140" s="85"/>
      <c r="O140" s="85"/>
    </row>
    <row r="141" spans="13:15" ht="13.2">
      <c r="M141" s="85"/>
      <c r="N141" s="85"/>
      <c r="O141" s="85"/>
    </row>
    <row r="142" spans="13:15" ht="13.2">
      <c r="M142" s="85"/>
      <c r="N142" s="85"/>
      <c r="O142" s="85"/>
    </row>
    <row r="143" spans="13:15" ht="13.2">
      <c r="M143" s="85"/>
      <c r="N143" s="85"/>
      <c r="O143" s="85"/>
    </row>
    <row r="144" spans="13:15" ht="13.2">
      <c r="M144" s="85"/>
      <c r="N144" s="85"/>
      <c r="O144" s="85"/>
    </row>
    <row r="145" spans="13:15" ht="13.2">
      <c r="M145" s="85"/>
      <c r="N145" s="85"/>
      <c r="O145" s="85"/>
    </row>
    <row r="146" spans="13:15" ht="13.2">
      <c r="M146" s="85"/>
      <c r="N146" s="85"/>
      <c r="O146" s="85"/>
    </row>
    <row r="147" spans="13:15" ht="13.2">
      <c r="M147" s="85"/>
      <c r="N147" s="85"/>
      <c r="O147" s="85"/>
    </row>
    <row r="148" spans="13:15" ht="13.2">
      <c r="M148" s="85"/>
      <c r="N148" s="85"/>
      <c r="O148" s="85"/>
    </row>
    <row r="149" spans="13:15" ht="13.2">
      <c r="M149" s="85"/>
      <c r="N149" s="85"/>
      <c r="O149" s="85"/>
    </row>
    <row r="150" spans="13:15" ht="13.2">
      <c r="M150" s="85"/>
      <c r="N150" s="85"/>
      <c r="O150" s="85"/>
    </row>
    <row r="151" spans="13:15" ht="13.2">
      <c r="M151" s="85"/>
      <c r="N151" s="85"/>
      <c r="O151" s="85"/>
    </row>
    <row r="152" spans="13:15" ht="13.2">
      <c r="M152" s="85"/>
      <c r="N152" s="85"/>
      <c r="O152" s="85"/>
    </row>
    <row r="153" spans="13:15" ht="13.2">
      <c r="M153" s="85"/>
      <c r="N153" s="85"/>
      <c r="O153" s="85"/>
    </row>
    <row r="154" spans="13:15" ht="13.2">
      <c r="M154" s="85"/>
      <c r="N154" s="85"/>
      <c r="O154" s="85"/>
    </row>
    <row r="155" spans="13:15" ht="13.2">
      <c r="M155" s="85"/>
      <c r="N155" s="85"/>
      <c r="O155" s="85"/>
    </row>
    <row r="156" spans="13:15" ht="13.2">
      <c r="M156" s="85"/>
      <c r="N156" s="85"/>
      <c r="O156" s="85"/>
    </row>
    <row r="157" spans="13:15" ht="13.2">
      <c r="M157" s="85"/>
      <c r="N157" s="85"/>
      <c r="O157" s="85"/>
    </row>
    <row r="158" spans="13:15" ht="13.2">
      <c r="M158" s="85"/>
      <c r="N158" s="85"/>
      <c r="O158" s="85"/>
    </row>
    <row r="159" spans="13:15" ht="13.2">
      <c r="M159" s="85"/>
      <c r="N159" s="85"/>
      <c r="O159" s="85"/>
    </row>
    <row r="160" spans="13:15" ht="13.2">
      <c r="M160" s="85"/>
      <c r="N160" s="85"/>
      <c r="O160" s="85"/>
    </row>
    <row r="161" spans="13:15" ht="13.2">
      <c r="M161" s="85"/>
      <c r="N161" s="85"/>
      <c r="O161" s="85"/>
    </row>
    <row r="162" spans="13:15" ht="13.2">
      <c r="M162" s="85"/>
      <c r="N162" s="85"/>
      <c r="O162" s="85"/>
    </row>
    <row r="163" spans="13:15" ht="13.2">
      <c r="M163" s="85"/>
      <c r="N163" s="85"/>
      <c r="O163" s="85"/>
    </row>
    <row r="164" spans="13:15" ht="13.2">
      <c r="M164" s="85"/>
      <c r="N164" s="85"/>
      <c r="O164" s="85"/>
    </row>
    <row r="165" spans="13:15" ht="13.2">
      <c r="M165" s="85"/>
      <c r="N165" s="85"/>
      <c r="O165" s="85"/>
    </row>
    <row r="166" spans="13:15" ht="13.2">
      <c r="M166" s="85"/>
      <c r="N166" s="85"/>
      <c r="O166" s="85"/>
    </row>
    <row r="167" spans="13:15" ht="13.2">
      <c r="M167" s="85"/>
      <c r="N167" s="85"/>
      <c r="O167" s="85"/>
    </row>
    <row r="168" spans="13:15" ht="13.2">
      <c r="M168" s="85"/>
      <c r="N168" s="85"/>
      <c r="O168" s="85"/>
    </row>
    <row r="169" spans="13:15" ht="13.2">
      <c r="M169" s="85"/>
      <c r="N169" s="85"/>
      <c r="O169" s="85"/>
    </row>
    <row r="170" spans="13:15" ht="13.2">
      <c r="M170" s="85"/>
      <c r="N170" s="85"/>
      <c r="O170" s="85"/>
    </row>
    <row r="171" spans="13:15" ht="13.2">
      <c r="M171" s="85"/>
      <c r="N171" s="85"/>
      <c r="O171" s="85"/>
    </row>
    <row r="172" spans="13:15" ht="13.2">
      <c r="M172" s="85"/>
      <c r="N172" s="85"/>
      <c r="O172" s="85"/>
    </row>
    <row r="173" spans="13:15" ht="13.2">
      <c r="M173" s="85"/>
      <c r="N173" s="85"/>
      <c r="O173" s="85"/>
    </row>
    <row r="174" spans="13:15" ht="13.2">
      <c r="M174" s="85"/>
      <c r="N174" s="85"/>
      <c r="O174" s="85"/>
    </row>
    <row r="175" spans="13:15" ht="13.2">
      <c r="M175" s="85"/>
      <c r="N175" s="85"/>
      <c r="O175" s="85"/>
    </row>
    <row r="176" spans="13:15" ht="13.2">
      <c r="M176" s="85"/>
      <c r="N176" s="85"/>
      <c r="O176" s="85"/>
    </row>
    <row r="177" spans="13:15" ht="13.2">
      <c r="M177" s="85"/>
      <c r="N177" s="85"/>
      <c r="O177" s="85"/>
    </row>
    <row r="178" spans="13:15" ht="13.2">
      <c r="M178" s="85"/>
      <c r="N178" s="85"/>
      <c r="O178" s="85"/>
    </row>
    <row r="179" spans="13:15" ht="13.2">
      <c r="M179" s="85"/>
      <c r="N179" s="85"/>
      <c r="O179" s="85"/>
    </row>
    <row r="180" spans="13:15" ht="13.2">
      <c r="M180" s="85"/>
      <c r="N180" s="85"/>
      <c r="O180" s="85"/>
    </row>
    <row r="181" spans="13:15" ht="13.2">
      <c r="M181" s="85"/>
      <c r="N181" s="85"/>
      <c r="O181" s="85"/>
    </row>
    <row r="182" spans="13:15" ht="13.2">
      <c r="M182" s="85"/>
      <c r="N182" s="85"/>
      <c r="O182" s="85"/>
    </row>
    <row r="183" spans="13:15" ht="13.2">
      <c r="M183" s="85"/>
      <c r="N183" s="85"/>
      <c r="O183" s="85"/>
    </row>
    <row r="184" spans="13:15" ht="13.2">
      <c r="M184" s="85"/>
      <c r="N184" s="85"/>
      <c r="O184" s="85"/>
    </row>
    <row r="185" spans="13:15" ht="13.2">
      <c r="M185" s="85"/>
      <c r="N185" s="85"/>
      <c r="O185" s="85"/>
    </row>
    <row r="186" spans="13:15" ht="13.2">
      <c r="M186" s="85"/>
      <c r="N186" s="85"/>
      <c r="O186" s="85"/>
    </row>
    <row r="187" spans="13:15" ht="13.2">
      <c r="M187" s="85"/>
      <c r="N187" s="85"/>
      <c r="O187" s="85"/>
    </row>
    <row r="188" spans="13:15" ht="13.2">
      <c r="M188" s="85"/>
      <c r="N188" s="85"/>
      <c r="O188" s="85"/>
    </row>
    <row r="189" spans="13:15" ht="13.2">
      <c r="M189" s="85"/>
      <c r="N189" s="85"/>
      <c r="O189" s="85"/>
    </row>
    <row r="190" spans="13:15" ht="13.2">
      <c r="M190" s="85"/>
      <c r="N190" s="85"/>
      <c r="O190" s="85"/>
    </row>
    <row r="191" spans="13:15" ht="13.2">
      <c r="M191" s="85"/>
      <c r="N191" s="85"/>
      <c r="O191" s="85"/>
    </row>
    <row r="192" spans="13:15" ht="13.2">
      <c r="M192" s="85"/>
      <c r="N192" s="85"/>
      <c r="O192" s="85"/>
    </row>
    <row r="193" spans="13:15" ht="13.2">
      <c r="M193" s="85"/>
      <c r="N193" s="85"/>
      <c r="O193" s="85"/>
    </row>
    <row r="194" spans="13:15" ht="13.2">
      <c r="M194" s="85"/>
      <c r="N194" s="85"/>
      <c r="O194" s="85"/>
    </row>
    <row r="195" spans="13:15" ht="13.2">
      <c r="M195" s="85"/>
      <c r="N195" s="85"/>
      <c r="O195" s="85"/>
    </row>
    <row r="196" spans="13:15" ht="13.2">
      <c r="M196" s="85"/>
      <c r="N196" s="85"/>
      <c r="O196" s="85"/>
    </row>
    <row r="197" spans="13:15" ht="13.2">
      <c r="M197" s="85"/>
      <c r="N197" s="85"/>
      <c r="O197" s="85"/>
    </row>
    <row r="198" spans="13:15" ht="13.2">
      <c r="M198" s="85"/>
      <c r="N198" s="85"/>
      <c r="O198" s="85"/>
    </row>
    <row r="199" spans="13:15" ht="13.2">
      <c r="M199" s="85"/>
      <c r="N199" s="85"/>
      <c r="O199" s="85"/>
    </row>
    <row r="200" spans="13:15" ht="13.2">
      <c r="M200" s="85"/>
      <c r="N200" s="85"/>
      <c r="O200" s="85"/>
    </row>
    <row r="201" spans="13:15" ht="13.2">
      <c r="M201" s="85"/>
      <c r="N201" s="85"/>
      <c r="O201" s="85"/>
    </row>
    <row r="202" spans="13:15" ht="13.2">
      <c r="M202" s="85"/>
      <c r="N202" s="85"/>
      <c r="O202" s="85"/>
    </row>
    <row r="203" spans="13:15" ht="13.2">
      <c r="M203" s="85"/>
      <c r="N203" s="85"/>
      <c r="O203" s="85"/>
    </row>
    <row r="204" spans="13:15" ht="13.2">
      <c r="M204" s="85"/>
      <c r="N204" s="85"/>
      <c r="O204" s="85"/>
    </row>
    <row r="205" spans="13:15" ht="13.2">
      <c r="M205" s="85"/>
      <c r="N205" s="85"/>
      <c r="O205" s="85"/>
    </row>
    <row r="206" spans="13:15" ht="13.2">
      <c r="M206" s="85"/>
      <c r="N206" s="85"/>
      <c r="O206" s="85"/>
    </row>
    <row r="207" spans="13:15" ht="13.2">
      <c r="M207" s="85"/>
      <c r="N207" s="85"/>
      <c r="O207" s="85"/>
    </row>
    <row r="208" spans="13:15" ht="13.2">
      <c r="M208" s="85"/>
      <c r="N208" s="85"/>
      <c r="O208" s="85"/>
    </row>
    <row r="209" spans="13:15" ht="13.2">
      <c r="M209" s="85"/>
      <c r="N209" s="85"/>
      <c r="O209" s="85"/>
    </row>
    <row r="210" spans="13:15" ht="13.2">
      <c r="M210" s="85"/>
      <c r="N210" s="85"/>
      <c r="O210" s="85"/>
    </row>
    <row r="211" spans="13:15" ht="13.2">
      <c r="M211" s="85"/>
      <c r="N211" s="85"/>
      <c r="O211" s="85"/>
    </row>
    <row r="212" spans="13:15" ht="13.2">
      <c r="M212" s="85"/>
      <c r="N212" s="85"/>
      <c r="O212" s="85"/>
    </row>
    <row r="213" spans="13:15" ht="13.2">
      <c r="M213" s="85"/>
      <c r="N213" s="85"/>
      <c r="O213" s="85"/>
    </row>
    <row r="214" spans="13:15" ht="13.2">
      <c r="M214" s="85"/>
      <c r="N214" s="85"/>
      <c r="O214" s="85"/>
    </row>
    <row r="215" spans="13:15" ht="13.2">
      <c r="M215" s="85"/>
      <c r="N215" s="85"/>
      <c r="O215" s="85"/>
    </row>
    <row r="216" spans="13:15" ht="13.2">
      <c r="M216" s="85"/>
      <c r="N216" s="85"/>
      <c r="O216" s="85"/>
    </row>
    <row r="217" spans="13:15" ht="13.2">
      <c r="M217" s="85"/>
      <c r="N217" s="85"/>
      <c r="O217" s="85"/>
    </row>
    <row r="218" spans="13:15" ht="13.2">
      <c r="M218" s="85"/>
      <c r="N218" s="85"/>
      <c r="O218" s="85"/>
    </row>
    <row r="219" spans="13:15" ht="13.2">
      <c r="M219" s="85"/>
      <c r="N219" s="85"/>
      <c r="O219" s="85"/>
    </row>
    <row r="220" spans="13:15" ht="13.2">
      <c r="M220" s="85"/>
      <c r="N220" s="85"/>
      <c r="O220" s="85"/>
    </row>
    <row r="221" spans="13:15" ht="13.2">
      <c r="M221" s="85"/>
      <c r="N221" s="85"/>
      <c r="O221" s="85"/>
    </row>
    <row r="222" spans="13:15" ht="13.2">
      <c r="M222" s="85"/>
      <c r="N222" s="85"/>
      <c r="O222" s="85"/>
    </row>
    <row r="223" spans="13:15" ht="13.2">
      <c r="M223" s="85"/>
      <c r="N223" s="85"/>
      <c r="O223" s="85"/>
    </row>
    <row r="224" spans="13:15" ht="13.2">
      <c r="M224" s="85"/>
      <c r="N224" s="85"/>
      <c r="O224" s="85"/>
    </row>
    <row r="225" spans="13:15" ht="13.2">
      <c r="M225" s="85"/>
      <c r="N225" s="85"/>
      <c r="O225" s="85"/>
    </row>
    <row r="226" spans="13:15" ht="13.2">
      <c r="M226" s="85"/>
      <c r="N226" s="85"/>
      <c r="O226" s="85"/>
    </row>
    <row r="227" spans="13:15" ht="13.2">
      <c r="M227" s="85"/>
      <c r="N227" s="85"/>
      <c r="O227" s="85"/>
    </row>
    <row r="228" spans="13:15" ht="13.2">
      <c r="M228" s="85"/>
      <c r="N228" s="85"/>
      <c r="O228" s="85"/>
    </row>
    <row r="229" spans="13:15" ht="13.2">
      <c r="M229" s="85"/>
      <c r="N229" s="85"/>
      <c r="O229" s="85"/>
    </row>
    <row r="230" spans="13:15" ht="13.2">
      <c r="M230" s="85"/>
      <c r="N230" s="85"/>
      <c r="O230" s="85"/>
    </row>
    <row r="231" spans="13:15" ht="13.2">
      <c r="M231" s="85"/>
      <c r="N231" s="85"/>
      <c r="O231" s="85"/>
    </row>
    <row r="232" spans="13:15" ht="13.2">
      <c r="M232" s="85"/>
      <c r="N232" s="85"/>
      <c r="O232" s="85"/>
    </row>
    <row r="233" spans="13:15" ht="13.2">
      <c r="M233" s="85"/>
      <c r="N233" s="85"/>
      <c r="O233" s="85"/>
    </row>
    <row r="234" spans="13:15" ht="13.2">
      <c r="M234" s="85"/>
      <c r="N234" s="85"/>
      <c r="O234" s="85"/>
    </row>
    <row r="235" spans="13:15" ht="13.2">
      <c r="M235" s="85"/>
      <c r="N235" s="85"/>
      <c r="O235" s="85"/>
    </row>
    <row r="236" spans="13:15" ht="13.2">
      <c r="M236" s="85"/>
      <c r="N236" s="85"/>
      <c r="O236" s="85"/>
    </row>
    <row r="237" spans="13:15" ht="13.2">
      <c r="M237" s="85"/>
      <c r="N237" s="85"/>
      <c r="O237" s="85"/>
    </row>
    <row r="238" spans="13:15" ht="13.2">
      <c r="M238" s="85"/>
      <c r="N238" s="85"/>
      <c r="O238" s="85"/>
    </row>
    <row r="239" spans="13:15" ht="13.2">
      <c r="M239" s="85"/>
      <c r="N239" s="85"/>
      <c r="O239" s="85"/>
    </row>
    <row r="240" spans="13:15" ht="13.2">
      <c r="M240" s="85"/>
      <c r="N240" s="85"/>
      <c r="O240" s="85"/>
    </row>
    <row r="241" spans="13:15" ht="13.2">
      <c r="M241" s="85"/>
      <c r="N241" s="85"/>
      <c r="O241" s="85"/>
    </row>
    <row r="242" spans="13:15" ht="13.2">
      <c r="M242" s="85"/>
      <c r="N242" s="85"/>
      <c r="O242" s="85"/>
    </row>
    <row r="243" spans="13:15" ht="13.2">
      <c r="M243" s="85"/>
      <c r="N243" s="85"/>
      <c r="O243" s="85"/>
    </row>
    <row r="244" spans="13:15" ht="13.2">
      <c r="M244" s="85"/>
      <c r="N244" s="85"/>
      <c r="O244" s="85"/>
    </row>
    <row r="245" spans="13:15" ht="13.2">
      <c r="M245" s="85"/>
      <c r="N245" s="85"/>
      <c r="O245" s="85"/>
    </row>
    <row r="246" spans="13:15" ht="13.2">
      <c r="M246" s="85"/>
      <c r="N246" s="85"/>
      <c r="O246" s="85"/>
    </row>
    <row r="247" spans="13:15" ht="13.2">
      <c r="M247" s="85"/>
      <c r="N247" s="85"/>
      <c r="O247" s="85"/>
    </row>
    <row r="248" spans="13:15" ht="13.2">
      <c r="M248" s="85"/>
      <c r="N248" s="85"/>
      <c r="O248" s="85"/>
    </row>
    <row r="249" spans="13:15" ht="13.2">
      <c r="M249" s="85"/>
      <c r="N249" s="85"/>
      <c r="O249" s="85"/>
    </row>
    <row r="250" spans="13:15" ht="13.2">
      <c r="M250" s="85"/>
      <c r="N250" s="85"/>
      <c r="O250" s="85"/>
    </row>
    <row r="251" spans="13:15" ht="13.2">
      <c r="M251" s="85"/>
      <c r="N251" s="85"/>
      <c r="O251" s="85"/>
    </row>
    <row r="252" spans="13:15" ht="13.2">
      <c r="M252" s="85"/>
      <c r="N252" s="85"/>
      <c r="O252" s="85"/>
    </row>
    <row r="253" spans="13:15" ht="13.2">
      <c r="M253" s="85"/>
      <c r="N253" s="85"/>
      <c r="O253" s="85"/>
    </row>
    <row r="254" spans="13:15" ht="13.2">
      <c r="M254" s="85"/>
      <c r="N254" s="85"/>
      <c r="O254" s="85"/>
    </row>
    <row r="255" spans="13:15" ht="13.2">
      <c r="M255" s="85"/>
      <c r="N255" s="85"/>
      <c r="O255" s="85"/>
    </row>
    <row r="256" spans="13:15" ht="13.2">
      <c r="M256" s="85"/>
      <c r="N256" s="85"/>
      <c r="O256" s="85"/>
    </row>
    <row r="257" spans="13:15" ht="13.2">
      <c r="M257" s="85"/>
      <c r="N257" s="85"/>
      <c r="O257" s="85"/>
    </row>
    <row r="258" spans="13:15" ht="13.2">
      <c r="M258" s="85"/>
      <c r="N258" s="85"/>
      <c r="O258" s="85"/>
    </row>
    <row r="259" spans="13:15" ht="13.2">
      <c r="M259" s="85"/>
      <c r="N259" s="85"/>
      <c r="O259" s="85"/>
    </row>
    <row r="260" spans="13:15" ht="13.2">
      <c r="M260" s="85"/>
      <c r="N260" s="85"/>
      <c r="O260" s="85"/>
    </row>
    <row r="261" spans="13:15" ht="13.2">
      <c r="M261" s="85"/>
      <c r="N261" s="85"/>
      <c r="O261" s="85"/>
    </row>
    <row r="262" spans="13:15" ht="13.2">
      <c r="M262" s="85"/>
      <c r="N262" s="85"/>
      <c r="O262" s="85"/>
    </row>
    <row r="263" spans="13:15" ht="13.2">
      <c r="M263" s="85"/>
      <c r="N263" s="85"/>
      <c r="O263" s="85"/>
    </row>
    <row r="264" spans="13:15" ht="13.2">
      <c r="M264" s="85"/>
      <c r="N264" s="85"/>
      <c r="O264" s="85"/>
    </row>
    <row r="265" spans="13:15" ht="13.2">
      <c r="M265" s="85"/>
      <c r="N265" s="85"/>
      <c r="O265" s="85"/>
    </row>
    <row r="266" spans="13:15" ht="13.2">
      <c r="M266" s="85"/>
      <c r="N266" s="85"/>
      <c r="O266" s="85"/>
    </row>
    <row r="267" spans="13:15" ht="13.2">
      <c r="M267" s="85"/>
      <c r="N267" s="85"/>
      <c r="O267" s="85"/>
    </row>
    <row r="268" spans="13:15" ht="13.2">
      <c r="M268" s="85"/>
      <c r="N268" s="85"/>
      <c r="O268" s="85"/>
    </row>
    <row r="269" spans="13:15" ht="13.2">
      <c r="M269" s="85"/>
      <c r="N269" s="85"/>
      <c r="O269" s="85"/>
    </row>
    <row r="270" spans="13:15" ht="13.2">
      <c r="M270" s="85"/>
      <c r="N270" s="85"/>
      <c r="O270" s="85"/>
    </row>
    <row r="271" spans="13:15" ht="13.2">
      <c r="M271" s="85"/>
      <c r="N271" s="85"/>
      <c r="O271" s="85"/>
    </row>
    <row r="272" spans="13:15" ht="13.2">
      <c r="M272" s="85"/>
      <c r="N272" s="85"/>
      <c r="O272" s="85"/>
    </row>
    <row r="273" spans="13:15" ht="13.2">
      <c r="M273" s="85"/>
      <c r="N273" s="85"/>
      <c r="O273" s="85"/>
    </row>
    <row r="274" spans="13:15" ht="13.2">
      <c r="M274" s="85"/>
      <c r="N274" s="85"/>
      <c r="O274" s="85"/>
    </row>
    <row r="275" spans="13:15" ht="13.2">
      <c r="M275" s="85"/>
      <c r="N275" s="85"/>
      <c r="O275" s="85"/>
    </row>
    <row r="276" spans="13:15" ht="13.2">
      <c r="M276" s="85"/>
      <c r="N276" s="85"/>
      <c r="O276" s="85"/>
    </row>
    <row r="277" spans="13:15" ht="13.2">
      <c r="M277" s="85"/>
      <c r="N277" s="85"/>
      <c r="O277" s="85"/>
    </row>
    <row r="278" spans="13:15" ht="13.2">
      <c r="M278" s="85"/>
      <c r="N278" s="85"/>
      <c r="O278" s="85"/>
    </row>
    <row r="279" spans="13:15" ht="13.2">
      <c r="M279" s="85"/>
      <c r="N279" s="85"/>
      <c r="O279" s="85"/>
    </row>
    <row r="280" spans="13:15" ht="13.2">
      <c r="M280" s="85"/>
      <c r="N280" s="85"/>
      <c r="O280" s="85"/>
    </row>
    <row r="281" spans="13:15" ht="13.2">
      <c r="M281" s="85"/>
      <c r="N281" s="85"/>
      <c r="O281" s="85"/>
    </row>
    <row r="282" spans="13:15" ht="13.2">
      <c r="M282" s="85"/>
      <c r="N282" s="85"/>
      <c r="O282" s="85"/>
    </row>
    <row r="283" spans="13:15" ht="13.2">
      <c r="M283" s="85"/>
      <c r="N283" s="85"/>
      <c r="O283" s="85"/>
    </row>
    <row r="284" spans="13:15" ht="13.2">
      <c r="M284" s="85"/>
      <c r="N284" s="85"/>
      <c r="O284" s="85"/>
    </row>
    <row r="285" spans="13:15" ht="13.2">
      <c r="M285" s="85"/>
      <c r="N285" s="85"/>
      <c r="O285" s="85"/>
    </row>
    <row r="286" spans="13:15" ht="13.2">
      <c r="M286" s="85"/>
      <c r="N286" s="85"/>
      <c r="O286" s="85"/>
    </row>
    <row r="287" spans="13:15" ht="13.2">
      <c r="M287" s="85"/>
      <c r="N287" s="85"/>
      <c r="O287" s="85"/>
    </row>
    <row r="288" spans="13:15" ht="13.2">
      <c r="M288" s="85"/>
      <c r="N288" s="85"/>
      <c r="O288" s="85"/>
    </row>
    <row r="289" spans="13:15" ht="13.2">
      <c r="M289" s="85"/>
      <c r="N289" s="85"/>
      <c r="O289" s="85"/>
    </row>
    <row r="290" spans="13:15" ht="13.2">
      <c r="M290" s="85"/>
      <c r="N290" s="85"/>
      <c r="O290" s="85"/>
    </row>
    <row r="291" spans="13:15" ht="13.2">
      <c r="M291" s="85"/>
      <c r="N291" s="85"/>
      <c r="O291" s="85"/>
    </row>
    <row r="292" spans="13:15" ht="13.2">
      <c r="M292" s="85"/>
      <c r="N292" s="85"/>
      <c r="O292" s="85"/>
    </row>
    <row r="293" spans="13:15" ht="13.2">
      <c r="M293" s="85"/>
      <c r="N293" s="85"/>
      <c r="O293" s="85"/>
    </row>
    <row r="294" spans="13:15" ht="13.2">
      <c r="M294" s="85"/>
      <c r="N294" s="85"/>
      <c r="O294" s="85"/>
    </row>
    <row r="295" spans="13:15" ht="13.2">
      <c r="M295" s="85"/>
      <c r="N295" s="85"/>
      <c r="O295" s="85"/>
    </row>
    <row r="296" spans="13:15" ht="13.2">
      <c r="M296" s="85"/>
      <c r="N296" s="85"/>
      <c r="O296" s="85"/>
    </row>
    <row r="297" spans="13:15" ht="13.2">
      <c r="M297" s="85"/>
      <c r="N297" s="85"/>
      <c r="O297" s="85"/>
    </row>
    <row r="298" spans="13:15" ht="13.2">
      <c r="M298" s="85"/>
      <c r="N298" s="85"/>
      <c r="O298" s="85"/>
    </row>
    <row r="299" spans="13:15" ht="13.2">
      <c r="M299" s="85"/>
      <c r="N299" s="85"/>
      <c r="O299" s="85"/>
    </row>
    <row r="300" spans="13:15" ht="13.2">
      <c r="M300" s="85"/>
      <c r="N300" s="85"/>
      <c r="O300" s="85"/>
    </row>
    <row r="301" spans="13:15" ht="13.2">
      <c r="M301" s="85"/>
      <c r="N301" s="85"/>
      <c r="O301" s="85"/>
    </row>
    <row r="302" spans="13:15" ht="13.2">
      <c r="M302" s="85"/>
      <c r="N302" s="85"/>
      <c r="O302" s="85"/>
    </row>
    <row r="303" spans="13:15" ht="13.2">
      <c r="M303" s="85"/>
      <c r="N303" s="85"/>
      <c r="O303" s="85"/>
    </row>
    <row r="304" spans="13:15" ht="13.2">
      <c r="M304" s="85"/>
      <c r="N304" s="85"/>
      <c r="O304" s="85"/>
    </row>
    <row r="305" spans="13:15" ht="13.2">
      <c r="M305" s="85"/>
      <c r="N305" s="85"/>
      <c r="O305" s="85"/>
    </row>
    <row r="306" spans="13:15" ht="13.2">
      <c r="M306" s="85"/>
      <c r="N306" s="85"/>
      <c r="O306" s="85"/>
    </row>
    <row r="307" spans="13:15" ht="13.2">
      <c r="M307" s="85"/>
      <c r="N307" s="85"/>
      <c r="O307" s="85"/>
    </row>
    <row r="308" spans="13:15" ht="13.2">
      <c r="M308" s="85"/>
      <c r="N308" s="85"/>
      <c r="O308" s="85"/>
    </row>
    <row r="309" spans="13:15" ht="13.2">
      <c r="M309" s="85"/>
      <c r="N309" s="85"/>
      <c r="O309" s="85"/>
    </row>
    <row r="310" spans="13:15" ht="13.2">
      <c r="M310" s="85"/>
      <c r="N310" s="85"/>
      <c r="O310" s="85"/>
    </row>
    <row r="311" spans="13:15" ht="13.2">
      <c r="M311" s="85"/>
      <c r="N311" s="85"/>
      <c r="O311" s="85"/>
    </row>
    <row r="312" spans="13:15" ht="13.2">
      <c r="M312" s="85"/>
      <c r="N312" s="85"/>
      <c r="O312" s="85"/>
    </row>
    <row r="313" spans="13:15" ht="13.2">
      <c r="M313" s="85"/>
      <c r="N313" s="85"/>
      <c r="O313" s="85"/>
    </row>
    <row r="314" spans="13:15" ht="13.2">
      <c r="M314" s="85"/>
      <c r="N314" s="85"/>
      <c r="O314" s="85"/>
    </row>
    <row r="315" spans="13:15" ht="13.2">
      <c r="M315" s="85"/>
      <c r="N315" s="85"/>
      <c r="O315" s="85"/>
    </row>
    <row r="316" spans="13:15" ht="13.2">
      <c r="M316" s="85"/>
      <c r="N316" s="85"/>
      <c r="O316" s="85"/>
    </row>
    <row r="317" spans="13:15" ht="13.2">
      <c r="M317" s="85"/>
      <c r="N317" s="85"/>
      <c r="O317" s="85"/>
    </row>
    <row r="318" spans="13:15" ht="13.2">
      <c r="M318" s="85"/>
      <c r="N318" s="85"/>
      <c r="O318" s="85"/>
    </row>
    <row r="319" spans="13:15" ht="13.2">
      <c r="M319" s="85"/>
      <c r="N319" s="85"/>
      <c r="O319" s="85"/>
    </row>
    <row r="320" spans="13:15" ht="13.2">
      <c r="M320" s="85"/>
      <c r="N320" s="85"/>
      <c r="O320" s="85"/>
    </row>
    <row r="321" spans="13:15" ht="13.2">
      <c r="M321" s="85"/>
      <c r="N321" s="85"/>
      <c r="O321" s="85"/>
    </row>
    <row r="322" spans="13:15" ht="13.2">
      <c r="M322" s="85"/>
      <c r="N322" s="85"/>
      <c r="O322" s="85"/>
    </row>
    <row r="323" spans="13:15" ht="13.2">
      <c r="M323" s="85"/>
      <c r="N323" s="85"/>
      <c r="O323" s="85"/>
    </row>
    <row r="324" spans="13:15" ht="13.2">
      <c r="M324" s="85"/>
      <c r="N324" s="85"/>
      <c r="O324" s="85"/>
    </row>
    <row r="325" spans="13:15" ht="13.2">
      <c r="M325" s="85"/>
      <c r="N325" s="85"/>
      <c r="O325" s="85"/>
    </row>
    <row r="326" spans="13:15" ht="13.2">
      <c r="M326" s="85"/>
      <c r="N326" s="85"/>
      <c r="O326" s="85"/>
    </row>
    <row r="327" spans="13:15" ht="13.2">
      <c r="M327" s="85"/>
      <c r="N327" s="85"/>
      <c r="O327" s="85"/>
    </row>
    <row r="328" spans="13:15" ht="13.2">
      <c r="M328" s="85"/>
      <c r="N328" s="85"/>
      <c r="O328" s="85"/>
    </row>
    <row r="329" spans="13:15" ht="13.2">
      <c r="M329" s="85"/>
      <c r="N329" s="85"/>
      <c r="O329" s="85"/>
    </row>
    <row r="330" spans="13:15" ht="13.2">
      <c r="M330" s="85"/>
      <c r="N330" s="85"/>
      <c r="O330" s="85"/>
    </row>
    <row r="331" spans="13:15" ht="13.2">
      <c r="M331" s="85"/>
      <c r="N331" s="85"/>
      <c r="O331" s="85"/>
    </row>
    <row r="332" spans="13:15" ht="13.2">
      <c r="M332" s="85"/>
      <c r="N332" s="85"/>
      <c r="O332" s="85"/>
    </row>
    <row r="333" spans="13:15" ht="13.2">
      <c r="M333" s="85"/>
      <c r="N333" s="85"/>
      <c r="O333" s="85"/>
    </row>
    <row r="334" spans="13:15" ht="13.2">
      <c r="M334" s="85"/>
      <c r="N334" s="85"/>
      <c r="O334" s="85"/>
    </row>
    <row r="335" spans="13:15" ht="13.2">
      <c r="M335" s="85"/>
      <c r="N335" s="85"/>
      <c r="O335" s="85"/>
    </row>
    <row r="336" spans="13:15" ht="13.2">
      <c r="M336" s="85"/>
      <c r="N336" s="85"/>
      <c r="O336" s="85"/>
    </row>
    <row r="337" spans="13:15" ht="13.2">
      <c r="M337" s="85"/>
      <c r="N337" s="85"/>
      <c r="O337" s="85"/>
    </row>
    <row r="338" spans="13:15" ht="13.2">
      <c r="M338" s="85"/>
      <c r="N338" s="85"/>
      <c r="O338" s="85"/>
    </row>
    <row r="339" spans="13:15" ht="13.2">
      <c r="M339" s="85"/>
      <c r="N339" s="85"/>
      <c r="O339" s="85"/>
    </row>
    <row r="340" spans="13:15" ht="13.2">
      <c r="M340" s="85"/>
      <c r="N340" s="85"/>
      <c r="O340" s="85"/>
    </row>
    <row r="341" spans="13:15" ht="13.2">
      <c r="M341" s="85"/>
      <c r="N341" s="85"/>
      <c r="O341" s="85"/>
    </row>
    <row r="342" spans="13:15" ht="13.2">
      <c r="M342" s="85"/>
      <c r="N342" s="85"/>
      <c r="O342" s="85"/>
    </row>
    <row r="343" spans="13:15" ht="13.2">
      <c r="M343" s="85"/>
      <c r="N343" s="85"/>
      <c r="O343" s="85"/>
    </row>
    <row r="344" spans="13:15" ht="13.2">
      <c r="M344" s="85"/>
      <c r="N344" s="85"/>
      <c r="O344" s="85"/>
    </row>
    <row r="345" spans="13:15" ht="13.2">
      <c r="M345" s="85"/>
      <c r="N345" s="85"/>
      <c r="O345" s="85"/>
    </row>
    <row r="346" spans="13:15" ht="13.2">
      <c r="M346" s="85"/>
      <c r="N346" s="85"/>
      <c r="O346" s="85"/>
    </row>
    <row r="347" spans="13:15" ht="13.2">
      <c r="M347" s="85"/>
      <c r="N347" s="85"/>
      <c r="O347" s="85"/>
    </row>
    <row r="348" spans="13:15" ht="13.2">
      <c r="M348" s="85"/>
      <c r="N348" s="85"/>
      <c r="O348" s="85"/>
    </row>
    <row r="349" spans="13:15" ht="13.2">
      <c r="M349" s="85"/>
      <c r="N349" s="85"/>
      <c r="O349" s="85"/>
    </row>
    <row r="350" spans="13:15" ht="13.2">
      <c r="M350" s="85"/>
      <c r="N350" s="85"/>
      <c r="O350" s="85"/>
    </row>
    <row r="351" spans="13:15" ht="13.2">
      <c r="M351" s="85"/>
      <c r="N351" s="85"/>
      <c r="O351" s="85"/>
    </row>
    <row r="352" spans="13:15" ht="13.2">
      <c r="M352" s="85"/>
      <c r="N352" s="85"/>
      <c r="O352" s="85"/>
    </row>
    <row r="353" spans="13:15" ht="13.2">
      <c r="M353" s="85"/>
      <c r="N353" s="85"/>
      <c r="O353" s="85"/>
    </row>
    <row r="354" spans="13:15" ht="13.2">
      <c r="M354" s="85"/>
      <c r="N354" s="85"/>
      <c r="O354" s="85"/>
    </row>
    <row r="355" spans="13:15" ht="13.2">
      <c r="M355" s="85"/>
      <c r="N355" s="85"/>
      <c r="O355" s="85"/>
    </row>
    <row r="356" spans="13:15" ht="13.2">
      <c r="M356" s="85"/>
      <c r="N356" s="85"/>
      <c r="O356" s="85"/>
    </row>
    <row r="357" spans="13:15" ht="13.2">
      <c r="M357" s="85"/>
      <c r="N357" s="85"/>
      <c r="O357" s="85"/>
    </row>
    <row r="358" spans="13:15" ht="13.2">
      <c r="M358" s="85"/>
      <c r="N358" s="85"/>
      <c r="O358" s="85"/>
    </row>
    <row r="359" spans="13:15" ht="13.2">
      <c r="M359" s="85"/>
      <c r="N359" s="85"/>
      <c r="O359" s="85"/>
    </row>
    <row r="360" spans="13:15" ht="13.2">
      <c r="M360" s="85"/>
      <c r="N360" s="85"/>
      <c r="O360" s="85"/>
    </row>
    <row r="361" spans="13:15" ht="13.2">
      <c r="M361" s="85"/>
      <c r="N361" s="85"/>
      <c r="O361" s="85"/>
    </row>
    <row r="362" spans="13:15" ht="13.2">
      <c r="M362" s="85"/>
      <c r="N362" s="85"/>
      <c r="O362" s="85"/>
    </row>
    <row r="363" spans="13:15" ht="13.2">
      <c r="M363" s="85"/>
      <c r="N363" s="85"/>
      <c r="O363" s="85"/>
    </row>
    <row r="364" spans="13:15" ht="13.2">
      <c r="M364" s="85"/>
      <c r="N364" s="85"/>
      <c r="O364" s="85"/>
    </row>
    <row r="365" spans="13:15" ht="13.2">
      <c r="M365" s="85"/>
      <c r="N365" s="85"/>
      <c r="O365" s="85"/>
    </row>
    <row r="366" spans="13:15" ht="13.2">
      <c r="M366" s="85"/>
      <c r="N366" s="85"/>
      <c r="O366" s="85"/>
    </row>
    <row r="367" spans="13:15" ht="13.2">
      <c r="M367" s="85"/>
      <c r="N367" s="85"/>
      <c r="O367" s="85"/>
    </row>
    <row r="368" spans="13:15" ht="13.2">
      <c r="M368" s="85"/>
      <c r="N368" s="85"/>
      <c r="O368" s="85"/>
    </row>
    <row r="369" spans="13:15" ht="13.2">
      <c r="M369" s="85"/>
      <c r="N369" s="85"/>
      <c r="O369" s="85"/>
    </row>
    <row r="370" spans="13:15" ht="13.2">
      <c r="M370" s="85"/>
      <c r="N370" s="85"/>
      <c r="O370" s="85"/>
    </row>
    <row r="371" spans="13:15" ht="13.2">
      <c r="M371" s="85"/>
      <c r="N371" s="85"/>
      <c r="O371" s="85"/>
    </row>
    <row r="372" spans="13:15" ht="13.2">
      <c r="M372" s="85"/>
      <c r="N372" s="85"/>
      <c r="O372" s="85"/>
    </row>
    <row r="373" spans="13:15" ht="13.2">
      <c r="M373" s="85"/>
      <c r="N373" s="85"/>
      <c r="O373" s="85"/>
    </row>
    <row r="374" spans="13:15" ht="13.2">
      <c r="M374" s="85"/>
      <c r="N374" s="85"/>
      <c r="O374" s="85"/>
    </row>
    <row r="375" spans="13:15" ht="13.2">
      <c r="M375" s="85"/>
      <c r="N375" s="85"/>
      <c r="O375" s="85"/>
    </row>
    <row r="376" spans="13:15" ht="13.2">
      <c r="M376" s="85"/>
      <c r="N376" s="85"/>
      <c r="O376" s="85"/>
    </row>
    <row r="377" spans="13:15" ht="13.2">
      <c r="M377" s="85"/>
      <c r="N377" s="85"/>
      <c r="O377" s="85"/>
    </row>
    <row r="378" spans="13:15" ht="13.2">
      <c r="M378" s="85"/>
      <c r="N378" s="85"/>
      <c r="O378" s="85"/>
    </row>
    <row r="379" spans="13:15" ht="13.2">
      <c r="M379" s="85"/>
      <c r="N379" s="85"/>
      <c r="O379" s="85"/>
    </row>
    <row r="380" spans="13:15" ht="13.2">
      <c r="M380" s="85"/>
      <c r="N380" s="85"/>
      <c r="O380" s="85"/>
    </row>
    <row r="381" spans="13:15" ht="13.2">
      <c r="M381" s="85"/>
      <c r="N381" s="85"/>
      <c r="O381" s="85"/>
    </row>
    <row r="382" spans="13:15" ht="13.2">
      <c r="M382" s="85"/>
      <c r="N382" s="85"/>
      <c r="O382" s="85"/>
    </row>
    <row r="383" spans="13:15" ht="13.2">
      <c r="M383" s="85"/>
      <c r="N383" s="85"/>
      <c r="O383" s="85"/>
    </row>
    <row r="384" spans="13:15" ht="13.2">
      <c r="M384" s="85"/>
      <c r="N384" s="85"/>
      <c r="O384" s="85"/>
    </row>
    <row r="385" spans="13:15" ht="13.2">
      <c r="M385" s="85"/>
      <c r="N385" s="85"/>
      <c r="O385" s="85"/>
    </row>
    <row r="386" spans="13:15" ht="13.2">
      <c r="M386" s="85"/>
      <c r="N386" s="85"/>
      <c r="O386" s="85"/>
    </row>
    <row r="387" spans="13:15" ht="13.2">
      <c r="M387" s="85"/>
      <c r="N387" s="85"/>
      <c r="O387" s="85"/>
    </row>
    <row r="388" spans="13:15" ht="13.2">
      <c r="M388" s="85"/>
      <c r="N388" s="85"/>
      <c r="O388" s="85"/>
    </row>
    <row r="389" spans="13:15" ht="13.2">
      <c r="M389" s="85"/>
      <c r="N389" s="85"/>
      <c r="O389" s="85"/>
    </row>
    <row r="390" spans="13:15" ht="13.2">
      <c r="M390" s="85"/>
      <c r="N390" s="85"/>
      <c r="O390" s="85"/>
    </row>
    <row r="391" spans="13:15" ht="13.2">
      <c r="M391" s="85"/>
      <c r="N391" s="85"/>
      <c r="O391" s="85"/>
    </row>
    <row r="392" spans="13:15" ht="13.2">
      <c r="M392" s="85"/>
      <c r="N392" s="85"/>
      <c r="O392" s="85"/>
    </row>
    <row r="393" spans="13:15" ht="13.2">
      <c r="M393" s="85"/>
      <c r="N393" s="85"/>
      <c r="O393" s="85"/>
    </row>
    <row r="394" spans="13:15" ht="13.2">
      <c r="M394" s="85"/>
      <c r="N394" s="85"/>
      <c r="O394" s="85"/>
    </row>
    <row r="395" spans="13:15" ht="13.2">
      <c r="M395" s="85"/>
      <c r="N395" s="85"/>
      <c r="O395" s="85"/>
    </row>
    <row r="396" spans="13:15" ht="13.2">
      <c r="M396" s="85"/>
      <c r="N396" s="85"/>
      <c r="O396" s="85"/>
    </row>
    <row r="397" spans="13:15" ht="13.2">
      <c r="M397" s="85"/>
      <c r="N397" s="85"/>
      <c r="O397" s="85"/>
    </row>
    <row r="398" spans="13:15" ht="13.2">
      <c r="M398" s="85"/>
      <c r="N398" s="85"/>
      <c r="O398" s="85"/>
    </row>
    <row r="399" spans="13:15" ht="13.2">
      <c r="M399" s="85"/>
      <c r="N399" s="85"/>
      <c r="O399" s="85"/>
    </row>
    <row r="400" spans="13:15" ht="13.2">
      <c r="M400" s="85"/>
      <c r="N400" s="85"/>
      <c r="O400" s="85"/>
    </row>
    <row r="401" spans="13:15" ht="13.2">
      <c r="M401" s="85"/>
      <c r="N401" s="85"/>
      <c r="O401" s="85"/>
    </row>
    <row r="402" spans="13:15" ht="13.2">
      <c r="M402" s="85"/>
      <c r="N402" s="85"/>
      <c r="O402" s="85"/>
    </row>
    <row r="403" spans="13:15" ht="13.2">
      <c r="M403" s="85"/>
      <c r="N403" s="85"/>
      <c r="O403" s="85"/>
    </row>
    <row r="404" spans="13:15" ht="13.2">
      <c r="M404" s="85"/>
      <c r="N404" s="85"/>
      <c r="O404" s="85"/>
    </row>
    <row r="405" spans="13:15" ht="13.2">
      <c r="M405" s="85"/>
      <c r="N405" s="85"/>
      <c r="O405" s="85"/>
    </row>
    <row r="406" spans="13:15" ht="13.2">
      <c r="M406" s="85"/>
      <c r="N406" s="85"/>
      <c r="O406" s="85"/>
    </row>
    <row r="407" spans="13:15" ht="13.2">
      <c r="M407" s="85"/>
      <c r="N407" s="85"/>
      <c r="O407" s="85"/>
    </row>
    <row r="408" spans="13:15" ht="13.2">
      <c r="M408" s="85"/>
      <c r="N408" s="85"/>
      <c r="O408" s="85"/>
    </row>
    <row r="409" spans="13:15" ht="13.2">
      <c r="M409" s="85"/>
      <c r="N409" s="85"/>
      <c r="O409" s="85"/>
    </row>
    <row r="410" spans="13:15" ht="13.2">
      <c r="M410" s="85"/>
      <c r="N410" s="85"/>
      <c r="O410" s="85"/>
    </row>
    <row r="411" spans="13:15" ht="13.2">
      <c r="M411" s="85"/>
      <c r="N411" s="85"/>
      <c r="O411" s="85"/>
    </row>
    <row r="412" spans="13:15" ht="13.2">
      <c r="M412" s="85"/>
      <c r="N412" s="85"/>
      <c r="O412" s="85"/>
    </row>
    <row r="413" spans="13:15" ht="13.2">
      <c r="M413" s="85"/>
      <c r="N413" s="85"/>
      <c r="O413" s="85"/>
    </row>
    <row r="414" spans="13:15" ht="13.2">
      <c r="M414" s="85"/>
      <c r="N414" s="85"/>
      <c r="O414" s="85"/>
    </row>
    <row r="415" spans="13:15" ht="13.2">
      <c r="M415" s="85"/>
      <c r="N415" s="85"/>
      <c r="O415" s="85"/>
    </row>
    <row r="416" spans="13:15" ht="13.2">
      <c r="M416" s="85"/>
      <c r="N416" s="85"/>
      <c r="O416" s="85"/>
    </row>
    <row r="417" spans="13:15" ht="13.2">
      <c r="M417" s="85"/>
      <c r="N417" s="85"/>
      <c r="O417" s="85"/>
    </row>
    <row r="418" spans="13:15" ht="13.2">
      <c r="M418" s="85"/>
      <c r="N418" s="85"/>
      <c r="O418" s="85"/>
    </row>
    <row r="419" spans="13:15" ht="13.2">
      <c r="M419" s="85"/>
      <c r="N419" s="85"/>
      <c r="O419" s="85"/>
    </row>
    <row r="420" spans="13:15" ht="13.2">
      <c r="M420" s="85"/>
      <c r="N420" s="85"/>
      <c r="O420" s="85"/>
    </row>
    <row r="421" spans="13:15" ht="13.2">
      <c r="M421" s="85"/>
      <c r="N421" s="85"/>
      <c r="O421" s="85"/>
    </row>
    <row r="422" spans="13:15" ht="13.2">
      <c r="M422" s="85"/>
      <c r="N422" s="85"/>
      <c r="O422" s="85"/>
    </row>
    <row r="423" spans="13:15" ht="13.2">
      <c r="M423" s="85"/>
      <c r="N423" s="85"/>
      <c r="O423" s="85"/>
    </row>
    <row r="424" spans="13:15" ht="13.2">
      <c r="M424" s="85"/>
      <c r="N424" s="85"/>
      <c r="O424" s="85"/>
    </row>
    <row r="425" spans="13:15" ht="13.2">
      <c r="M425" s="85"/>
      <c r="N425" s="85"/>
      <c r="O425" s="85"/>
    </row>
    <row r="426" spans="13:15" ht="13.2">
      <c r="M426" s="85"/>
      <c r="N426" s="85"/>
      <c r="O426" s="85"/>
    </row>
    <row r="427" spans="13:15" ht="13.2">
      <c r="M427" s="85"/>
      <c r="N427" s="85"/>
      <c r="O427" s="85"/>
    </row>
    <row r="428" spans="13:15" ht="13.2">
      <c r="M428" s="85"/>
      <c r="N428" s="85"/>
      <c r="O428" s="85"/>
    </row>
    <row r="429" spans="13:15" ht="13.2">
      <c r="M429" s="85"/>
      <c r="N429" s="85"/>
      <c r="O429" s="85"/>
    </row>
    <row r="430" spans="13:15" ht="13.2">
      <c r="M430" s="85"/>
      <c r="N430" s="85"/>
      <c r="O430" s="85"/>
    </row>
    <row r="431" spans="13:15" ht="13.2">
      <c r="M431" s="85"/>
      <c r="N431" s="85"/>
      <c r="O431" s="85"/>
    </row>
    <row r="432" spans="13:15" ht="13.2">
      <c r="M432" s="85"/>
      <c r="N432" s="85"/>
      <c r="O432" s="85"/>
    </row>
    <row r="433" spans="13:15" ht="13.2">
      <c r="M433" s="85"/>
      <c r="N433" s="85"/>
      <c r="O433" s="85"/>
    </row>
    <row r="434" spans="13:15" ht="13.2">
      <c r="M434" s="85"/>
      <c r="N434" s="85"/>
      <c r="O434" s="85"/>
    </row>
    <row r="435" spans="13:15" ht="13.2">
      <c r="M435" s="85"/>
      <c r="N435" s="85"/>
      <c r="O435" s="85"/>
    </row>
    <row r="436" spans="13:15" ht="13.2">
      <c r="M436" s="85"/>
      <c r="N436" s="85"/>
      <c r="O436" s="85"/>
    </row>
    <row r="437" spans="13:15" ht="13.2">
      <c r="M437" s="85"/>
      <c r="N437" s="85"/>
      <c r="O437" s="85"/>
    </row>
    <row r="438" spans="13:15" ht="13.2">
      <c r="M438" s="85"/>
      <c r="N438" s="85"/>
      <c r="O438" s="85"/>
    </row>
    <row r="439" spans="13:15" ht="13.2">
      <c r="M439" s="85"/>
      <c r="N439" s="85"/>
      <c r="O439" s="85"/>
    </row>
    <row r="440" spans="13:15" ht="13.2">
      <c r="M440" s="85"/>
      <c r="N440" s="85"/>
      <c r="O440" s="85"/>
    </row>
    <row r="441" spans="13:15" ht="13.2">
      <c r="M441" s="85"/>
      <c r="N441" s="85"/>
      <c r="O441" s="85"/>
    </row>
    <row r="442" spans="13:15" ht="13.2">
      <c r="M442" s="85"/>
      <c r="N442" s="85"/>
      <c r="O442" s="85"/>
    </row>
    <row r="443" spans="13:15" ht="13.2">
      <c r="M443" s="85"/>
      <c r="N443" s="85"/>
      <c r="O443" s="85"/>
    </row>
    <row r="444" spans="13:15" ht="13.2">
      <c r="M444" s="85"/>
      <c r="N444" s="85"/>
      <c r="O444" s="85"/>
    </row>
    <row r="445" spans="13:15" ht="13.2">
      <c r="M445" s="85"/>
      <c r="N445" s="85"/>
      <c r="O445" s="85"/>
    </row>
    <row r="446" spans="13:15" ht="13.2">
      <c r="M446" s="85"/>
      <c r="N446" s="85"/>
      <c r="O446" s="85"/>
    </row>
    <row r="447" spans="13:15" ht="13.2">
      <c r="M447" s="85"/>
      <c r="N447" s="85"/>
      <c r="O447" s="85"/>
    </row>
    <row r="448" spans="13:15" ht="13.2">
      <c r="M448" s="85"/>
      <c r="N448" s="85"/>
      <c r="O448" s="85"/>
    </row>
    <row r="449" spans="13:15" ht="13.2">
      <c r="M449" s="85"/>
      <c r="N449" s="85"/>
      <c r="O449" s="85"/>
    </row>
    <row r="450" spans="13:15" ht="13.2">
      <c r="M450" s="85"/>
      <c r="N450" s="85"/>
      <c r="O450" s="85"/>
    </row>
    <row r="451" spans="13:15" ht="13.2">
      <c r="M451" s="85"/>
      <c r="N451" s="85"/>
      <c r="O451" s="85"/>
    </row>
    <row r="452" spans="13:15" ht="13.2">
      <c r="M452" s="85"/>
      <c r="N452" s="85"/>
      <c r="O452" s="85"/>
    </row>
    <row r="453" spans="13:15" ht="13.2">
      <c r="M453" s="85"/>
      <c r="N453" s="85"/>
      <c r="O453" s="85"/>
    </row>
    <row r="454" spans="13:15" ht="13.2">
      <c r="M454" s="85"/>
      <c r="N454" s="85"/>
      <c r="O454" s="85"/>
    </row>
    <row r="455" spans="13:15" ht="13.2">
      <c r="M455" s="85"/>
      <c r="N455" s="85"/>
      <c r="O455" s="85"/>
    </row>
    <row r="456" spans="13:15" ht="13.2">
      <c r="M456" s="85"/>
      <c r="N456" s="85"/>
      <c r="O456" s="85"/>
    </row>
    <row r="457" spans="13:15" ht="13.2">
      <c r="M457" s="85"/>
      <c r="N457" s="85"/>
      <c r="O457" s="85"/>
    </row>
    <row r="458" spans="13:15" ht="13.2">
      <c r="M458" s="85"/>
      <c r="N458" s="85"/>
      <c r="O458" s="85"/>
    </row>
    <row r="459" spans="13:15" ht="13.2">
      <c r="M459" s="85"/>
      <c r="N459" s="85"/>
      <c r="O459" s="85"/>
    </row>
    <row r="460" spans="13:15" ht="13.2">
      <c r="M460" s="85"/>
      <c r="N460" s="85"/>
      <c r="O460" s="85"/>
    </row>
    <row r="461" spans="13:15" ht="13.2">
      <c r="M461" s="85"/>
      <c r="N461" s="85"/>
      <c r="O461" s="85"/>
    </row>
    <row r="462" spans="13:15" ht="13.2">
      <c r="M462" s="85"/>
      <c r="N462" s="85"/>
      <c r="O462" s="85"/>
    </row>
    <row r="463" spans="13:15" ht="13.2">
      <c r="M463" s="85"/>
      <c r="N463" s="85"/>
      <c r="O463" s="85"/>
    </row>
    <row r="464" spans="13:15" ht="13.2">
      <c r="M464" s="85"/>
      <c r="N464" s="85"/>
      <c r="O464" s="85"/>
    </row>
    <row r="465" spans="13:15" ht="13.2">
      <c r="M465" s="85"/>
      <c r="N465" s="85"/>
      <c r="O465" s="85"/>
    </row>
    <row r="466" spans="13:15" ht="13.2">
      <c r="M466" s="85"/>
      <c r="N466" s="85"/>
      <c r="O466" s="85"/>
    </row>
    <row r="467" spans="13:15" ht="13.2">
      <c r="M467" s="85"/>
      <c r="N467" s="85"/>
      <c r="O467" s="85"/>
    </row>
    <row r="468" spans="13:15" ht="13.2">
      <c r="M468" s="85"/>
      <c r="N468" s="85"/>
      <c r="O468" s="85"/>
    </row>
    <row r="469" spans="13:15" ht="13.2">
      <c r="M469" s="85"/>
      <c r="N469" s="85"/>
      <c r="O469" s="85"/>
    </row>
    <row r="470" spans="13:15" ht="13.2">
      <c r="M470" s="85"/>
      <c r="N470" s="85"/>
      <c r="O470" s="85"/>
    </row>
    <row r="471" spans="13:15" ht="13.2">
      <c r="M471" s="85"/>
      <c r="N471" s="85"/>
      <c r="O471" s="85"/>
    </row>
    <row r="472" spans="13:15" ht="13.2">
      <c r="M472" s="85"/>
      <c r="N472" s="85"/>
      <c r="O472" s="85"/>
    </row>
    <row r="473" spans="13:15" ht="13.2">
      <c r="M473" s="85"/>
      <c r="N473" s="85"/>
      <c r="O473" s="85"/>
    </row>
    <row r="474" spans="13:15" ht="13.2">
      <c r="M474" s="85"/>
      <c r="N474" s="85"/>
      <c r="O474" s="85"/>
    </row>
    <row r="475" spans="13:15" ht="13.2">
      <c r="M475" s="85"/>
      <c r="N475" s="85"/>
      <c r="O475" s="85"/>
    </row>
    <row r="476" spans="13:15" ht="13.2">
      <c r="M476" s="85"/>
      <c r="N476" s="85"/>
      <c r="O476" s="85"/>
    </row>
    <row r="477" spans="13:15" ht="13.2">
      <c r="M477" s="85"/>
      <c r="N477" s="85"/>
      <c r="O477" s="85"/>
    </row>
    <row r="478" spans="13:15" ht="13.2">
      <c r="M478" s="85"/>
      <c r="N478" s="85"/>
      <c r="O478" s="85"/>
    </row>
    <row r="479" spans="13:15" ht="13.2">
      <c r="M479" s="85"/>
      <c r="N479" s="85"/>
      <c r="O479" s="85"/>
    </row>
    <row r="480" spans="13:15" ht="13.2">
      <c r="M480" s="85"/>
      <c r="N480" s="85"/>
      <c r="O480" s="85"/>
    </row>
    <row r="481" spans="13:15" ht="13.2">
      <c r="M481" s="85"/>
      <c r="N481" s="85"/>
      <c r="O481" s="85"/>
    </row>
    <row r="482" spans="13:15" ht="13.2">
      <c r="M482" s="85"/>
      <c r="N482" s="85"/>
      <c r="O482" s="85"/>
    </row>
    <row r="483" spans="13:15" ht="13.2">
      <c r="M483" s="85"/>
      <c r="N483" s="85"/>
      <c r="O483" s="85"/>
    </row>
    <row r="484" spans="13:15" ht="13.2">
      <c r="M484" s="85"/>
      <c r="N484" s="85"/>
      <c r="O484" s="85"/>
    </row>
    <row r="485" spans="13:15" ht="13.2">
      <c r="M485" s="85"/>
      <c r="N485" s="85"/>
      <c r="O485" s="85"/>
    </row>
    <row r="486" spans="13:15" ht="13.2">
      <c r="M486" s="85"/>
      <c r="N486" s="85"/>
      <c r="O486" s="85"/>
    </row>
    <row r="487" spans="13:15" ht="13.2">
      <c r="M487" s="85"/>
      <c r="N487" s="85"/>
      <c r="O487" s="85"/>
    </row>
    <row r="488" spans="13:15" ht="13.2">
      <c r="M488" s="85"/>
      <c r="N488" s="85"/>
      <c r="O488" s="85"/>
    </row>
    <row r="489" spans="13:15" ht="13.2">
      <c r="M489" s="85"/>
      <c r="N489" s="85"/>
      <c r="O489" s="85"/>
    </row>
    <row r="490" spans="13:15" ht="13.2">
      <c r="M490" s="85"/>
      <c r="N490" s="85"/>
      <c r="O490" s="85"/>
    </row>
    <row r="491" spans="13:15" ht="13.2">
      <c r="M491" s="85"/>
      <c r="N491" s="85"/>
      <c r="O491" s="85"/>
    </row>
    <row r="492" spans="13:15" ht="13.2">
      <c r="M492" s="85"/>
      <c r="N492" s="85"/>
      <c r="O492" s="85"/>
    </row>
    <row r="493" spans="13:15" ht="13.2">
      <c r="M493" s="85"/>
      <c r="N493" s="85"/>
      <c r="O493" s="85"/>
    </row>
    <row r="494" spans="13:15" ht="13.2">
      <c r="M494" s="85"/>
      <c r="N494" s="85"/>
      <c r="O494" s="85"/>
    </row>
    <row r="495" spans="13:15" ht="13.2">
      <c r="M495" s="85"/>
      <c r="N495" s="85"/>
      <c r="O495" s="85"/>
    </row>
    <row r="496" spans="13:15" ht="13.2">
      <c r="M496" s="85"/>
      <c r="N496" s="85"/>
      <c r="O496" s="85"/>
    </row>
    <row r="497" spans="13:15" ht="13.2">
      <c r="M497" s="85"/>
      <c r="N497" s="85"/>
      <c r="O497" s="85"/>
    </row>
    <row r="498" spans="13:15" ht="13.2">
      <c r="M498" s="85"/>
      <c r="N498" s="85"/>
      <c r="O498" s="85"/>
    </row>
    <row r="499" spans="13:15" ht="13.2">
      <c r="M499" s="85"/>
      <c r="N499" s="85"/>
      <c r="O499" s="85"/>
    </row>
    <row r="500" spans="13:15" ht="13.2">
      <c r="M500" s="85"/>
      <c r="N500" s="85"/>
      <c r="O500" s="85"/>
    </row>
    <row r="501" spans="13:15" ht="13.2">
      <c r="M501" s="85"/>
      <c r="N501" s="85"/>
      <c r="O501" s="85"/>
    </row>
    <row r="502" spans="13:15" ht="13.2">
      <c r="M502" s="85"/>
      <c r="N502" s="85"/>
      <c r="O502" s="85"/>
    </row>
    <row r="503" spans="13:15" ht="13.2">
      <c r="M503" s="85"/>
      <c r="N503" s="85"/>
      <c r="O503" s="85"/>
    </row>
    <row r="504" spans="13:15" ht="13.2">
      <c r="M504" s="85"/>
      <c r="N504" s="85"/>
      <c r="O504" s="85"/>
    </row>
    <row r="505" spans="13:15" ht="13.2">
      <c r="M505" s="85"/>
      <c r="N505" s="85"/>
      <c r="O505" s="85"/>
    </row>
    <row r="506" spans="13:15" ht="13.2">
      <c r="M506" s="85"/>
      <c r="N506" s="85"/>
      <c r="O506" s="85"/>
    </row>
    <row r="507" spans="13:15" ht="13.2">
      <c r="M507" s="85"/>
      <c r="N507" s="85"/>
      <c r="O507" s="85"/>
    </row>
    <row r="508" spans="13:15" ht="13.2">
      <c r="M508" s="85"/>
      <c r="N508" s="85"/>
      <c r="O508" s="85"/>
    </row>
    <row r="509" spans="13:15" ht="13.2">
      <c r="M509" s="85"/>
      <c r="N509" s="85"/>
      <c r="O509" s="85"/>
    </row>
    <row r="510" spans="13:15" ht="13.2">
      <c r="M510" s="85"/>
      <c r="N510" s="85"/>
      <c r="O510" s="85"/>
    </row>
    <row r="511" spans="13:15" ht="13.2">
      <c r="M511" s="85"/>
      <c r="N511" s="85"/>
      <c r="O511" s="85"/>
    </row>
    <row r="512" spans="13:15" ht="13.2">
      <c r="M512" s="85"/>
      <c r="N512" s="85"/>
      <c r="O512" s="85"/>
    </row>
    <row r="513" spans="13:15" ht="13.2">
      <c r="M513" s="85"/>
      <c r="N513" s="85"/>
      <c r="O513" s="85"/>
    </row>
    <row r="514" spans="13:15" ht="13.2">
      <c r="M514" s="85"/>
      <c r="N514" s="85"/>
      <c r="O514" s="85"/>
    </row>
    <row r="515" spans="13:15" ht="13.2">
      <c r="M515" s="85"/>
      <c r="N515" s="85"/>
      <c r="O515" s="85"/>
    </row>
    <row r="516" spans="13:15" ht="13.2">
      <c r="M516" s="85"/>
      <c r="N516" s="85"/>
      <c r="O516" s="85"/>
    </row>
    <row r="517" spans="13:15" ht="13.2">
      <c r="M517" s="85"/>
      <c r="N517" s="85"/>
      <c r="O517" s="85"/>
    </row>
    <row r="518" spans="13:15" ht="13.2">
      <c r="M518" s="85"/>
      <c r="N518" s="85"/>
      <c r="O518" s="85"/>
    </row>
    <row r="519" spans="13:15" ht="13.2">
      <c r="M519" s="85"/>
      <c r="N519" s="85"/>
      <c r="O519" s="85"/>
    </row>
    <row r="520" spans="13:15" ht="13.2">
      <c r="M520" s="85"/>
      <c r="N520" s="85"/>
      <c r="O520" s="85"/>
    </row>
    <row r="521" spans="13:15" ht="13.2">
      <c r="M521" s="85"/>
      <c r="N521" s="85"/>
      <c r="O521" s="85"/>
    </row>
    <row r="522" spans="13:15" ht="13.2">
      <c r="M522" s="85"/>
      <c r="N522" s="85"/>
      <c r="O522" s="85"/>
    </row>
    <row r="523" spans="13:15" ht="13.2">
      <c r="M523" s="85"/>
      <c r="N523" s="85"/>
      <c r="O523" s="85"/>
    </row>
    <row r="524" spans="13:15" ht="13.2">
      <c r="M524" s="85"/>
      <c r="N524" s="85"/>
      <c r="O524" s="85"/>
    </row>
    <row r="525" spans="13:15" ht="13.2">
      <c r="M525" s="85"/>
      <c r="N525" s="85"/>
      <c r="O525" s="85"/>
    </row>
    <row r="526" spans="13:15" ht="13.2">
      <c r="M526" s="85"/>
      <c r="N526" s="85"/>
      <c r="O526" s="85"/>
    </row>
    <row r="527" spans="13:15" ht="13.2">
      <c r="M527" s="85"/>
      <c r="N527" s="85"/>
      <c r="O527" s="85"/>
    </row>
    <row r="528" spans="13:15" ht="13.2">
      <c r="M528" s="85"/>
      <c r="N528" s="85"/>
      <c r="O528" s="85"/>
    </row>
    <row r="529" spans="13:15" ht="13.2">
      <c r="M529" s="85"/>
      <c r="N529" s="85"/>
      <c r="O529" s="85"/>
    </row>
    <row r="530" spans="13:15" ht="13.2">
      <c r="M530" s="85"/>
      <c r="N530" s="85"/>
      <c r="O530" s="85"/>
    </row>
    <row r="531" spans="13:15" ht="13.2">
      <c r="M531" s="85"/>
      <c r="N531" s="85"/>
      <c r="O531" s="85"/>
    </row>
    <row r="532" spans="13:15" ht="13.2">
      <c r="M532" s="85"/>
      <c r="N532" s="85"/>
      <c r="O532" s="85"/>
    </row>
    <row r="533" spans="13:15" ht="13.2">
      <c r="M533" s="85"/>
      <c r="N533" s="85"/>
      <c r="O533" s="85"/>
    </row>
    <row r="534" spans="13:15" ht="13.2">
      <c r="M534" s="85"/>
      <c r="N534" s="85"/>
      <c r="O534" s="85"/>
    </row>
    <row r="535" spans="13:15" ht="13.2">
      <c r="M535" s="85"/>
      <c r="N535" s="85"/>
      <c r="O535" s="85"/>
    </row>
    <row r="536" spans="13:15" ht="13.2">
      <c r="M536" s="85"/>
      <c r="N536" s="85"/>
      <c r="O536" s="85"/>
    </row>
    <row r="537" spans="13:15" ht="13.2">
      <c r="M537" s="85"/>
      <c r="N537" s="85"/>
      <c r="O537" s="85"/>
    </row>
    <row r="538" spans="13:15" ht="13.2">
      <c r="M538" s="85"/>
      <c r="N538" s="85"/>
      <c r="O538" s="85"/>
    </row>
    <row r="539" spans="13:15" ht="13.2">
      <c r="M539" s="85"/>
      <c r="N539" s="85"/>
      <c r="O539" s="85"/>
    </row>
    <row r="540" spans="13:15" ht="13.2">
      <c r="M540" s="85"/>
      <c r="N540" s="85"/>
      <c r="O540" s="85"/>
    </row>
    <row r="541" spans="13:15" ht="13.2">
      <c r="M541" s="85"/>
      <c r="N541" s="85"/>
      <c r="O541" s="85"/>
    </row>
    <row r="542" spans="13:15" ht="13.2">
      <c r="M542" s="85"/>
      <c r="N542" s="85"/>
      <c r="O542" s="85"/>
    </row>
    <row r="543" spans="13:15" ht="13.2">
      <c r="M543" s="85"/>
      <c r="N543" s="85"/>
      <c r="O543" s="85"/>
    </row>
    <row r="544" spans="13:15" ht="13.2">
      <c r="M544" s="85"/>
      <c r="N544" s="85"/>
      <c r="O544" s="85"/>
    </row>
    <row r="545" spans="13:15" ht="13.2">
      <c r="M545" s="85"/>
      <c r="N545" s="85"/>
      <c r="O545" s="85"/>
    </row>
    <row r="546" spans="13:15" ht="13.2">
      <c r="M546" s="85"/>
      <c r="N546" s="85"/>
      <c r="O546" s="85"/>
    </row>
    <row r="547" spans="13:15" ht="13.2">
      <c r="M547" s="85"/>
      <c r="N547" s="85"/>
      <c r="O547" s="85"/>
    </row>
    <row r="548" spans="13:15" ht="13.2">
      <c r="M548" s="85"/>
      <c r="N548" s="85"/>
      <c r="O548" s="85"/>
    </row>
    <row r="549" spans="13:15" ht="13.2">
      <c r="M549" s="85"/>
      <c r="N549" s="85"/>
      <c r="O549" s="85"/>
    </row>
    <row r="550" spans="13:15" ht="13.2">
      <c r="M550" s="85"/>
      <c r="N550" s="85"/>
      <c r="O550" s="85"/>
    </row>
    <row r="551" spans="13:15" ht="13.2">
      <c r="M551" s="85"/>
      <c r="N551" s="85"/>
      <c r="O551" s="85"/>
    </row>
    <row r="552" spans="13:15" ht="13.2">
      <c r="M552" s="85"/>
      <c r="N552" s="85"/>
      <c r="O552" s="85"/>
    </row>
    <row r="553" spans="13:15" ht="13.2">
      <c r="M553" s="85"/>
      <c r="N553" s="85"/>
      <c r="O553" s="85"/>
    </row>
    <row r="554" spans="13:15" ht="13.2">
      <c r="M554" s="85"/>
      <c r="N554" s="85"/>
      <c r="O554" s="85"/>
    </row>
    <row r="555" spans="13:15" ht="13.2">
      <c r="M555" s="85"/>
      <c r="N555" s="85"/>
      <c r="O555" s="85"/>
    </row>
    <row r="556" spans="13:15" ht="13.2">
      <c r="M556" s="85"/>
      <c r="N556" s="85"/>
      <c r="O556" s="85"/>
    </row>
    <row r="557" spans="13:15" ht="13.2">
      <c r="M557" s="85"/>
      <c r="N557" s="85"/>
      <c r="O557" s="85"/>
    </row>
    <row r="558" spans="13:15" ht="13.2">
      <c r="M558" s="85"/>
      <c r="N558" s="85"/>
      <c r="O558" s="85"/>
    </row>
    <row r="559" spans="13:15" ht="13.2">
      <c r="M559" s="85"/>
      <c r="N559" s="85"/>
      <c r="O559" s="85"/>
    </row>
    <row r="560" spans="13:15" ht="13.2">
      <c r="M560" s="85"/>
      <c r="N560" s="85"/>
      <c r="O560" s="85"/>
    </row>
    <row r="561" spans="13:15" ht="13.2">
      <c r="M561" s="85"/>
      <c r="N561" s="85"/>
      <c r="O561" s="85"/>
    </row>
    <row r="562" spans="13:15" ht="13.2">
      <c r="M562" s="85"/>
      <c r="N562" s="85"/>
      <c r="O562" s="85"/>
    </row>
    <row r="563" spans="13:15" ht="13.2">
      <c r="M563" s="85"/>
      <c r="N563" s="85"/>
      <c r="O563" s="85"/>
    </row>
    <row r="564" spans="13:15" ht="13.2">
      <c r="M564" s="85"/>
      <c r="N564" s="85"/>
      <c r="O564" s="85"/>
    </row>
    <row r="565" spans="13:15" ht="13.2">
      <c r="M565" s="85"/>
      <c r="N565" s="85"/>
      <c r="O565" s="85"/>
    </row>
    <row r="566" spans="13:15" ht="13.2">
      <c r="M566" s="85"/>
      <c r="N566" s="85"/>
      <c r="O566" s="85"/>
    </row>
    <row r="567" spans="13:15" ht="13.2">
      <c r="M567" s="85"/>
      <c r="N567" s="85"/>
      <c r="O567" s="85"/>
    </row>
    <row r="568" spans="13:15" ht="13.2">
      <c r="M568" s="85"/>
      <c r="N568" s="85"/>
      <c r="O568" s="85"/>
    </row>
    <row r="569" spans="13:15" ht="13.2">
      <c r="M569" s="85"/>
      <c r="N569" s="85"/>
      <c r="O569" s="85"/>
    </row>
    <row r="570" spans="13:15" ht="13.2">
      <c r="M570" s="85"/>
      <c r="N570" s="85"/>
      <c r="O570" s="85"/>
    </row>
    <row r="571" spans="13:15" ht="13.2">
      <c r="M571" s="85"/>
      <c r="N571" s="85"/>
      <c r="O571" s="85"/>
    </row>
    <row r="572" spans="13:15" ht="13.2">
      <c r="M572" s="85"/>
      <c r="N572" s="85"/>
      <c r="O572" s="85"/>
    </row>
    <row r="573" spans="13:15" ht="13.2">
      <c r="M573" s="85"/>
      <c r="N573" s="85"/>
      <c r="O573" s="85"/>
    </row>
    <row r="574" spans="13:15" ht="13.2">
      <c r="M574" s="85"/>
      <c r="N574" s="85"/>
      <c r="O574" s="85"/>
    </row>
    <row r="575" spans="13:15" ht="13.2">
      <c r="M575" s="85"/>
      <c r="N575" s="85"/>
      <c r="O575" s="85"/>
    </row>
    <row r="576" spans="13:15" ht="13.2">
      <c r="M576" s="85"/>
      <c r="N576" s="85"/>
      <c r="O576" s="85"/>
    </row>
    <row r="577" spans="13:15" ht="13.2">
      <c r="M577" s="85"/>
      <c r="N577" s="85"/>
      <c r="O577" s="85"/>
    </row>
    <row r="578" spans="13:15" ht="13.2">
      <c r="M578" s="85"/>
      <c r="N578" s="85"/>
      <c r="O578" s="85"/>
    </row>
    <row r="579" spans="13:15" ht="13.2">
      <c r="M579" s="85"/>
      <c r="N579" s="85"/>
      <c r="O579" s="85"/>
    </row>
    <row r="580" spans="13:15" ht="13.2">
      <c r="M580" s="85"/>
      <c r="N580" s="85"/>
      <c r="O580" s="85"/>
    </row>
    <row r="581" spans="13:15" ht="13.2">
      <c r="M581" s="85"/>
      <c r="N581" s="85"/>
      <c r="O581" s="85"/>
    </row>
    <row r="582" spans="13:15" ht="13.2">
      <c r="M582" s="85"/>
      <c r="N582" s="85"/>
      <c r="O582" s="85"/>
    </row>
    <row r="583" spans="13:15" ht="13.2">
      <c r="M583" s="85"/>
      <c r="N583" s="85"/>
      <c r="O583" s="85"/>
    </row>
    <row r="584" spans="13:15" ht="13.2">
      <c r="M584" s="85"/>
      <c r="N584" s="85"/>
      <c r="O584" s="85"/>
    </row>
    <row r="585" spans="13:15" ht="13.2">
      <c r="M585" s="85"/>
      <c r="N585" s="85"/>
      <c r="O585" s="85"/>
    </row>
    <row r="586" spans="13:15" ht="13.2">
      <c r="M586" s="85"/>
      <c r="N586" s="85"/>
      <c r="O586" s="85"/>
    </row>
    <row r="587" spans="13:15" ht="13.2">
      <c r="M587" s="85"/>
      <c r="N587" s="85"/>
      <c r="O587" s="85"/>
    </row>
    <row r="588" spans="13:15" ht="13.2">
      <c r="M588" s="85"/>
      <c r="N588" s="85"/>
      <c r="O588" s="85"/>
    </row>
    <row r="589" spans="13:15" ht="13.2">
      <c r="M589" s="85"/>
      <c r="N589" s="85"/>
      <c r="O589" s="85"/>
    </row>
    <row r="590" spans="13:15" ht="13.2">
      <c r="M590" s="85"/>
      <c r="N590" s="85"/>
      <c r="O590" s="85"/>
    </row>
    <row r="591" spans="13:15" ht="13.2">
      <c r="M591" s="85"/>
      <c r="N591" s="85"/>
      <c r="O591" s="85"/>
    </row>
    <row r="592" spans="13:15" ht="13.2">
      <c r="M592" s="85"/>
      <c r="N592" s="85"/>
      <c r="O592" s="85"/>
    </row>
    <row r="593" spans="13:15" ht="13.2">
      <c r="M593" s="85"/>
      <c r="N593" s="85"/>
      <c r="O593" s="85"/>
    </row>
    <row r="594" spans="13:15" ht="13.2">
      <c r="M594" s="85"/>
      <c r="N594" s="85"/>
      <c r="O594" s="85"/>
    </row>
    <row r="595" spans="13:15" ht="13.2">
      <c r="M595" s="85"/>
      <c r="N595" s="85"/>
      <c r="O595" s="85"/>
    </row>
    <row r="596" spans="13:15" ht="13.2">
      <c r="M596" s="85"/>
      <c r="N596" s="85"/>
      <c r="O596" s="85"/>
    </row>
    <row r="597" spans="13:15" ht="13.2">
      <c r="M597" s="85"/>
      <c r="N597" s="85"/>
      <c r="O597" s="85"/>
    </row>
    <row r="598" spans="13:15" ht="13.2">
      <c r="M598" s="85"/>
      <c r="N598" s="85"/>
      <c r="O598" s="85"/>
    </row>
    <row r="599" spans="13:15" ht="13.2">
      <c r="M599" s="85"/>
      <c r="N599" s="85"/>
      <c r="O599" s="85"/>
    </row>
    <row r="600" spans="13:15" ht="13.2">
      <c r="M600" s="85"/>
      <c r="N600" s="85"/>
      <c r="O600" s="85"/>
    </row>
    <row r="601" spans="13:15" ht="13.2">
      <c r="M601" s="85"/>
      <c r="N601" s="85"/>
      <c r="O601" s="85"/>
    </row>
    <row r="602" spans="13:15" ht="13.2">
      <c r="M602" s="85"/>
      <c r="N602" s="85"/>
      <c r="O602" s="85"/>
    </row>
    <row r="603" spans="13:15" ht="13.2">
      <c r="M603" s="85"/>
      <c r="N603" s="85"/>
      <c r="O603" s="85"/>
    </row>
    <row r="604" spans="13:15" ht="13.2">
      <c r="M604" s="85"/>
      <c r="N604" s="85"/>
      <c r="O604" s="85"/>
    </row>
    <row r="605" spans="13:15" ht="13.2">
      <c r="M605" s="85"/>
      <c r="N605" s="85"/>
      <c r="O605" s="85"/>
    </row>
    <row r="606" spans="13:15" ht="13.2">
      <c r="M606" s="85"/>
      <c r="N606" s="85"/>
      <c r="O606" s="85"/>
    </row>
    <row r="607" spans="13:15" ht="13.2">
      <c r="M607" s="85"/>
      <c r="N607" s="85"/>
      <c r="O607" s="85"/>
    </row>
    <row r="608" spans="13:15" ht="13.2">
      <c r="M608" s="85"/>
      <c r="N608" s="85"/>
      <c r="O608" s="85"/>
    </row>
    <row r="609" spans="13:15" ht="13.2">
      <c r="M609" s="85"/>
      <c r="N609" s="85"/>
      <c r="O609" s="85"/>
    </row>
    <row r="610" spans="13:15" ht="13.2">
      <c r="M610" s="85"/>
      <c r="N610" s="85"/>
      <c r="O610" s="85"/>
    </row>
    <row r="611" spans="13:15" ht="13.2">
      <c r="M611" s="85"/>
      <c r="N611" s="85"/>
      <c r="O611" s="85"/>
    </row>
    <row r="612" spans="13:15" ht="13.2">
      <c r="M612" s="85"/>
      <c r="N612" s="85"/>
      <c r="O612" s="85"/>
    </row>
    <row r="613" spans="13:15" ht="13.2">
      <c r="M613" s="85"/>
      <c r="N613" s="85"/>
      <c r="O613" s="85"/>
    </row>
    <row r="614" spans="13:15" ht="13.2">
      <c r="M614" s="85"/>
      <c r="N614" s="85"/>
      <c r="O614" s="85"/>
    </row>
    <row r="615" spans="13:15" ht="13.2">
      <c r="M615" s="85"/>
      <c r="N615" s="85"/>
      <c r="O615" s="85"/>
    </row>
    <row r="616" spans="13:15" ht="13.2">
      <c r="M616" s="85"/>
      <c r="N616" s="85"/>
      <c r="O616" s="85"/>
    </row>
    <row r="617" spans="13:15" ht="13.2">
      <c r="M617" s="85"/>
      <c r="N617" s="85"/>
      <c r="O617" s="85"/>
    </row>
    <row r="618" spans="13:15" ht="13.2">
      <c r="M618" s="85"/>
      <c r="N618" s="85"/>
      <c r="O618" s="85"/>
    </row>
    <row r="619" spans="13:15" ht="13.2">
      <c r="M619" s="85"/>
      <c r="N619" s="85"/>
      <c r="O619" s="85"/>
    </row>
    <row r="620" spans="13:15" ht="13.2">
      <c r="M620" s="85"/>
      <c r="N620" s="85"/>
      <c r="O620" s="85"/>
    </row>
    <row r="621" spans="13:15" ht="13.2">
      <c r="M621" s="85"/>
      <c r="N621" s="85"/>
      <c r="O621" s="85"/>
    </row>
    <row r="622" spans="13:15" ht="13.2">
      <c r="M622" s="85"/>
      <c r="N622" s="85"/>
      <c r="O622" s="85"/>
    </row>
    <row r="623" spans="13:15" ht="13.2">
      <c r="M623" s="85"/>
      <c r="N623" s="85"/>
      <c r="O623" s="85"/>
    </row>
    <row r="624" spans="13:15" ht="13.2">
      <c r="M624" s="85"/>
      <c r="N624" s="85"/>
      <c r="O624" s="85"/>
    </row>
    <row r="625" spans="13:15" ht="13.2">
      <c r="M625" s="85"/>
      <c r="N625" s="85"/>
      <c r="O625" s="85"/>
    </row>
    <row r="626" spans="13:15" ht="13.2">
      <c r="M626" s="85"/>
      <c r="N626" s="85"/>
      <c r="O626" s="85"/>
    </row>
    <row r="627" spans="13:15" ht="13.2">
      <c r="M627" s="85"/>
      <c r="N627" s="85"/>
      <c r="O627" s="85"/>
    </row>
    <row r="628" spans="13:15" ht="13.2">
      <c r="M628" s="85"/>
      <c r="N628" s="85"/>
      <c r="O628" s="85"/>
    </row>
    <row r="629" spans="13:15" ht="13.2">
      <c r="M629" s="85"/>
      <c r="N629" s="85"/>
      <c r="O629" s="85"/>
    </row>
    <row r="630" spans="13:15" ht="13.2">
      <c r="M630" s="85"/>
      <c r="N630" s="85"/>
      <c r="O630" s="85"/>
    </row>
    <row r="631" spans="13:15" ht="13.2">
      <c r="M631" s="85"/>
      <c r="N631" s="85"/>
      <c r="O631" s="85"/>
    </row>
    <row r="632" spans="13:15" ht="13.2">
      <c r="M632" s="85"/>
      <c r="N632" s="85"/>
      <c r="O632" s="85"/>
    </row>
    <row r="633" spans="13:15" ht="13.2">
      <c r="M633" s="85"/>
      <c r="N633" s="85"/>
      <c r="O633" s="85"/>
    </row>
    <row r="634" spans="13:15" ht="13.2">
      <c r="M634" s="85"/>
      <c r="N634" s="85"/>
      <c r="O634" s="85"/>
    </row>
    <row r="635" spans="13:15" ht="13.2">
      <c r="M635" s="85"/>
      <c r="N635" s="85"/>
      <c r="O635" s="85"/>
    </row>
    <row r="636" spans="13:15" ht="13.2">
      <c r="M636" s="85"/>
      <c r="N636" s="85"/>
      <c r="O636" s="85"/>
    </row>
    <row r="637" spans="13:15" ht="13.2">
      <c r="M637" s="85"/>
      <c r="N637" s="85"/>
      <c r="O637" s="85"/>
    </row>
    <row r="638" spans="13:15" ht="13.2">
      <c r="M638" s="85"/>
      <c r="N638" s="85"/>
      <c r="O638" s="85"/>
    </row>
    <row r="639" spans="13:15" ht="13.2">
      <c r="M639" s="85"/>
      <c r="N639" s="85"/>
      <c r="O639" s="85"/>
    </row>
    <row r="640" spans="13:15" ht="13.2">
      <c r="M640" s="85"/>
      <c r="N640" s="85"/>
      <c r="O640" s="85"/>
    </row>
    <row r="641" spans="13:15" ht="13.2">
      <c r="M641" s="85"/>
      <c r="N641" s="85"/>
      <c r="O641" s="85"/>
    </row>
    <row r="642" spans="13:15" ht="13.2">
      <c r="M642" s="85"/>
      <c r="N642" s="85"/>
      <c r="O642" s="85"/>
    </row>
    <row r="643" spans="13:15" ht="13.2">
      <c r="M643" s="85"/>
      <c r="N643" s="85"/>
      <c r="O643" s="85"/>
    </row>
    <row r="644" spans="13:15" ht="13.2">
      <c r="M644" s="85"/>
      <c r="N644" s="85"/>
      <c r="O644" s="85"/>
    </row>
    <row r="645" spans="13:15" ht="13.2">
      <c r="M645" s="85"/>
      <c r="N645" s="85"/>
      <c r="O645" s="85"/>
    </row>
    <row r="646" spans="13:15" ht="13.2">
      <c r="M646" s="85"/>
      <c r="N646" s="85"/>
      <c r="O646" s="85"/>
    </row>
    <row r="647" spans="13:15" ht="13.2">
      <c r="M647" s="85"/>
      <c r="N647" s="85"/>
      <c r="O647" s="85"/>
    </row>
    <row r="648" spans="13:15" ht="13.2">
      <c r="M648" s="85"/>
      <c r="N648" s="85"/>
      <c r="O648" s="85"/>
    </row>
    <row r="649" spans="13:15" ht="13.2">
      <c r="M649" s="85"/>
      <c r="N649" s="85"/>
      <c r="O649" s="85"/>
    </row>
    <row r="650" spans="13:15" ht="13.2">
      <c r="M650" s="85"/>
      <c r="N650" s="85"/>
      <c r="O650" s="85"/>
    </row>
    <row r="651" spans="13:15" ht="13.2">
      <c r="M651" s="85"/>
      <c r="N651" s="85"/>
      <c r="O651" s="85"/>
    </row>
    <row r="652" spans="13:15" ht="13.2">
      <c r="M652" s="85"/>
      <c r="N652" s="85"/>
      <c r="O652" s="85"/>
    </row>
    <row r="653" spans="13:15" ht="13.2">
      <c r="M653" s="85"/>
      <c r="N653" s="85"/>
      <c r="O653" s="85"/>
    </row>
    <row r="654" spans="13:15" ht="13.2">
      <c r="M654" s="85"/>
      <c r="N654" s="85"/>
      <c r="O654" s="85"/>
    </row>
    <row r="655" spans="13:15" ht="13.2">
      <c r="M655" s="85"/>
      <c r="N655" s="85"/>
      <c r="O655" s="85"/>
    </row>
    <row r="656" spans="13:15" ht="13.2">
      <c r="M656" s="85"/>
      <c r="N656" s="85"/>
      <c r="O656" s="85"/>
    </row>
    <row r="657" spans="13:15" ht="13.2">
      <c r="M657" s="85"/>
      <c r="N657" s="85"/>
      <c r="O657" s="85"/>
    </row>
    <row r="658" spans="13:15" ht="13.2">
      <c r="M658" s="85"/>
      <c r="N658" s="85"/>
      <c r="O658" s="85"/>
    </row>
    <row r="659" spans="13:15" ht="13.2">
      <c r="M659" s="85"/>
      <c r="N659" s="85"/>
      <c r="O659" s="85"/>
    </row>
    <row r="660" spans="13:15" ht="13.2">
      <c r="M660" s="85"/>
      <c r="N660" s="85"/>
      <c r="O660" s="85"/>
    </row>
    <row r="661" spans="13:15" ht="13.2">
      <c r="M661" s="85"/>
      <c r="N661" s="85"/>
      <c r="O661" s="85"/>
    </row>
    <row r="662" spans="13:15" ht="13.2">
      <c r="M662" s="85"/>
      <c r="N662" s="85"/>
      <c r="O662" s="85"/>
    </row>
    <row r="663" spans="13:15" ht="13.2">
      <c r="M663" s="85"/>
      <c r="N663" s="85"/>
      <c r="O663" s="85"/>
    </row>
    <row r="664" spans="13:15" ht="13.2">
      <c r="M664" s="85"/>
      <c r="N664" s="85"/>
      <c r="O664" s="85"/>
    </row>
    <row r="665" spans="13:15" ht="13.2">
      <c r="M665" s="85"/>
      <c r="N665" s="85"/>
      <c r="O665" s="85"/>
    </row>
    <row r="666" spans="13:15" ht="13.2">
      <c r="M666" s="85"/>
      <c r="N666" s="85"/>
      <c r="O666" s="85"/>
    </row>
    <row r="667" spans="13:15" ht="13.2">
      <c r="M667" s="85"/>
      <c r="N667" s="85"/>
      <c r="O667" s="85"/>
    </row>
    <row r="668" spans="13:15" ht="13.2">
      <c r="M668" s="85"/>
      <c r="N668" s="85"/>
      <c r="O668" s="85"/>
    </row>
    <row r="669" spans="13:15" ht="13.2">
      <c r="M669" s="85"/>
      <c r="N669" s="85"/>
      <c r="O669" s="85"/>
    </row>
    <row r="670" spans="13:15" ht="13.2">
      <c r="M670" s="85"/>
      <c r="N670" s="85"/>
      <c r="O670" s="85"/>
    </row>
    <row r="671" spans="13:15" ht="13.2">
      <c r="M671" s="85"/>
      <c r="N671" s="85"/>
      <c r="O671" s="85"/>
    </row>
    <row r="672" spans="13:15" ht="13.2">
      <c r="M672" s="85"/>
      <c r="N672" s="85"/>
      <c r="O672" s="85"/>
    </row>
    <row r="673" spans="13:15" ht="13.2">
      <c r="M673" s="85"/>
      <c r="N673" s="85"/>
      <c r="O673" s="85"/>
    </row>
    <row r="674" spans="13:15" ht="13.2">
      <c r="M674" s="85"/>
      <c r="N674" s="85"/>
      <c r="O674" s="85"/>
    </row>
    <row r="675" spans="13:15" ht="13.2">
      <c r="M675" s="85"/>
      <c r="N675" s="85"/>
      <c r="O675" s="85"/>
    </row>
    <row r="676" spans="13:15" ht="13.2">
      <c r="M676" s="85"/>
      <c r="N676" s="85"/>
      <c r="O676" s="85"/>
    </row>
    <row r="677" spans="13:15" ht="13.2">
      <c r="M677" s="85"/>
      <c r="N677" s="85"/>
      <c r="O677" s="85"/>
    </row>
    <row r="678" spans="13:15" ht="13.2">
      <c r="M678" s="85"/>
      <c r="N678" s="85"/>
      <c r="O678" s="85"/>
    </row>
    <row r="679" spans="13:15" ht="13.2">
      <c r="M679" s="85"/>
      <c r="N679" s="85"/>
      <c r="O679" s="85"/>
    </row>
    <row r="680" spans="13:15" ht="13.2">
      <c r="M680" s="85"/>
      <c r="N680" s="85"/>
      <c r="O680" s="85"/>
    </row>
    <row r="681" spans="13:15" ht="13.2">
      <c r="M681" s="85"/>
      <c r="N681" s="85"/>
      <c r="O681" s="85"/>
    </row>
    <row r="682" spans="13:15" ht="13.2">
      <c r="M682" s="85"/>
      <c r="N682" s="85"/>
      <c r="O682" s="85"/>
    </row>
    <row r="683" spans="13:15" ht="13.2">
      <c r="M683" s="85"/>
      <c r="N683" s="85"/>
      <c r="O683" s="85"/>
    </row>
    <row r="684" spans="13:15" ht="13.2">
      <c r="M684" s="85"/>
      <c r="N684" s="85"/>
      <c r="O684" s="85"/>
    </row>
    <row r="685" spans="13:15" ht="13.2">
      <c r="M685" s="85"/>
      <c r="N685" s="85"/>
      <c r="O685" s="85"/>
    </row>
    <row r="686" spans="13:15" ht="13.2">
      <c r="M686" s="85"/>
      <c r="N686" s="85"/>
      <c r="O686" s="85"/>
    </row>
    <row r="687" spans="13:15" ht="13.2">
      <c r="M687" s="85"/>
      <c r="N687" s="85"/>
      <c r="O687" s="85"/>
    </row>
    <row r="688" spans="13:15" ht="13.2">
      <c r="M688" s="85"/>
      <c r="N688" s="85"/>
      <c r="O688" s="85"/>
    </row>
    <row r="689" spans="13:15" ht="13.2">
      <c r="M689" s="85"/>
      <c r="N689" s="85"/>
      <c r="O689" s="85"/>
    </row>
    <row r="690" spans="13:15" ht="13.2">
      <c r="M690" s="85"/>
      <c r="N690" s="85"/>
      <c r="O690" s="85"/>
    </row>
    <row r="691" spans="13:15" ht="13.2">
      <c r="M691" s="85"/>
      <c r="N691" s="85"/>
      <c r="O691" s="85"/>
    </row>
    <row r="692" spans="13:15" ht="13.2">
      <c r="M692" s="85"/>
      <c r="N692" s="85"/>
      <c r="O692" s="85"/>
    </row>
    <row r="693" spans="13:15" ht="13.2">
      <c r="M693" s="85"/>
      <c r="N693" s="85"/>
      <c r="O693" s="85"/>
    </row>
    <row r="694" spans="13:15" ht="13.2">
      <c r="M694" s="85"/>
      <c r="N694" s="85"/>
      <c r="O694" s="85"/>
    </row>
    <row r="695" spans="13:15" ht="13.2">
      <c r="M695" s="85"/>
      <c r="N695" s="85"/>
      <c r="O695" s="85"/>
    </row>
    <row r="696" spans="13:15" ht="13.2">
      <c r="M696" s="85"/>
      <c r="N696" s="85"/>
      <c r="O696" s="85"/>
    </row>
    <row r="697" spans="13:15" ht="13.2">
      <c r="M697" s="85"/>
      <c r="N697" s="85"/>
      <c r="O697" s="85"/>
    </row>
    <row r="698" spans="13:15" ht="13.2">
      <c r="M698" s="85"/>
      <c r="N698" s="85"/>
      <c r="O698" s="85"/>
    </row>
    <row r="699" spans="13:15" ht="13.2">
      <c r="M699" s="85"/>
      <c r="N699" s="85"/>
      <c r="O699" s="85"/>
    </row>
    <row r="700" spans="13:15" ht="13.2">
      <c r="M700" s="85"/>
      <c r="N700" s="85"/>
      <c r="O700" s="85"/>
    </row>
    <row r="701" spans="13:15" ht="13.2">
      <c r="M701" s="85"/>
      <c r="N701" s="85"/>
      <c r="O701" s="85"/>
    </row>
    <row r="702" spans="13:15" ht="13.2">
      <c r="M702" s="85"/>
      <c r="N702" s="85"/>
      <c r="O702" s="85"/>
    </row>
    <row r="703" spans="13:15" ht="13.2">
      <c r="M703" s="85"/>
      <c r="N703" s="85"/>
      <c r="O703" s="85"/>
    </row>
    <row r="704" spans="13:15" ht="13.2">
      <c r="M704" s="85"/>
      <c r="N704" s="85"/>
      <c r="O704" s="85"/>
    </row>
    <row r="705" spans="13:15" ht="13.2">
      <c r="M705" s="85"/>
      <c r="N705" s="85"/>
      <c r="O705" s="85"/>
    </row>
    <row r="706" spans="13:15" ht="13.2">
      <c r="M706" s="85"/>
      <c r="N706" s="85"/>
      <c r="O706" s="85"/>
    </row>
    <row r="707" spans="13:15" ht="13.2">
      <c r="M707" s="85"/>
      <c r="N707" s="85"/>
      <c r="O707" s="85"/>
    </row>
    <row r="708" spans="13:15" ht="13.2">
      <c r="M708" s="85"/>
      <c r="N708" s="85"/>
      <c r="O708" s="85"/>
    </row>
    <row r="709" spans="13:15" ht="13.2">
      <c r="M709" s="85"/>
      <c r="N709" s="85"/>
      <c r="O709" s="85"/>
    </row>
    <row r="710" spans="13:15" ht="13.2">
      <c r="M710" s="85"/>
      <c r="N710" s="85"/>
      <c r="O710" s="85"/>
    </row>
    <row r="711" spans="13:15" ht="13.2">
      <c r="M711" s="85"/>
      <c r="N711" s="85"/>
      <c r="O711" s="85"/>
    </row>
    <row r="712" spans="13:15" ht="13.2">
      <c r="M712" s="85"/>
      <c r="N712" s="85"/>
      <c r="O712" s="85"/>
    </row>
    <row r="713" spans="13:15" ht="13.2">
      <c r="M713" s="85"/>
      <c r="N713" s="85"/>
      <c r="O713" s="85"/>
    </row>
    <row r="714" spans="13:15" ht="13.2">
      <c r="M714" s="85"/>
      <c r="N714" s="85"/>
      <c r="O714" s="85"/>
    </row>
    <row r="715" spans="13:15" ht="13.2">
      <c r="M715" s="85"/>
      <c r="N715" s="85"/>
      <c r="O715" s="85"/>
    </row>
    <row r="716" spans="13:15" ht="13.2">
      <c r="M716" s="85"/>
      <c r="N716" s="85"/>
      <c r="O716" s="85"/>
    </row>
    <row r="717" spans="13:15" ht="13.2">
      <c r="M717" s="85"/>
      <c r="N717" s="85"/>
      <c r="O717" s="85"/>
    </row>
    <row r="718" spans="13:15" ht="13.2">
      <c r="M718" s="85"/>
      <c r="N718" s="85"/>
      <c r="O718" s="85"/>
    </row>
    <row r="719" spans="13:15" ht="13.2">
      <c r="M719" s="85"/>
      <c r="N719" s="85"/>
      <c r="O719" s="85"/>
    </row>
    <row r="720" spans="13:15" ht="13.2">
      <c r="M720" s="85"/>
      <c r="N720" s="85"/>
      <c r="O720" s="85"/>
    </row>
    <row r="721" spans="13:15" ht="13.2">
      <c r="M721" s="85"/>
      <c r="N721" s="85"/>
      <c r="O721" s="85"/>
    </row>
    <row r="722" spans="13:15" ht="13.2">
      <c r="M722" s="85"/>
      <c r="N722" s="85"/>
      <c r="O722" s="85"/>
    </row>
    <row r="723" spans="13:15" ht="13.2">
      <c r="M723" s="85"/>
      <c r="N723" s="85"/>
      <c r="O723" s="85"/>
    </row>
    <row r="724" spans="13:15" ht="13.2">
      <c r="M724" s="85"/>
      <c r="N724" s="85"/>
      <c r="O724" s="85"/>
    </row>
    <row r="725" spans="13:15" ht="13.2">
      <c r="M725" s="85"/>
      <c r="N725" s="85"/>
      <c r="O725" s="85"/>
    </row>
    <row r="726" spans="13:15" ht="13.2">
      <c r="M726" s="85"/>
      <c r="N726" s="85"/>
      <c r="O726" s="85"/>
    </row>
    <row r="727" spans="13:15" ht="13.2">
      <c r="M727" s="85"/>
      <c r="N727" s="85"/>
      <c r="O727" s="85"/>
    </row>
    <row r="728" spans="13:15" ht="13.2">
      <c r="M728" s="85"/>
      <c r="N728" s="85"/>
      <c r="O728" s="85"/>
    </row>
    <row r="729" spans="13:15" ht="13.2">
      <c r="M729" s="85"/>
      <c r="N729" s="85"/>
      <c r="O729" s="85"/>
    </row>
    <row r="730" spans="13:15" ht="13.2">
      <c r="M730" s="85"/>
      <c r="N730" s="85"/>
      <c r="O730" s="85"/>
    </row>
    <row r="731" spans="13:15" ht="13.2">
      <c r="M731" s="85"/>
      <c r="N731" s="85"/>
      <c r="O731" s="85"/>
    </row>
    <row r="732" spans="13:15" ht="13.2">
      <c r="M732" s="85"/>
      <c r="N732" s="85"/>
      <c r="O732" s="85"/>
    </row>
    <row r="733" spans="13:15" ht="13.2">
      <c r="M733" s="85"/>
      <c r="N733" s="85"/>
      <c r="O733" s="85"/>
    </row>
    <row r="734" spans="13:15" ht="13.2">
      <c r="M734" s="85"/>
      <c r="N734" s="85"/>
      <c r="O734" s="85"/>
    </row>
    <row r="735" spans="13:15" ht="13.2">
      <c r="M735" s="85"/>
      <c r="N735" s="85"/>
      <c r="O735" s="85"/>
    </row>
    <row r="736" spans="13:15" ht="13.2">
      <c r="M736" s="85"/>
      <c r="N736" s="85"/>
      <c r="O736" s="85"/>
    </row>
    <row r="737" spans="13:15" ht="13.2">
      <c r="M737" s="85"/>
      <c r="N737" s="85"/>
      <c r="O737" s="85"/>
    </row>
    <row r="738" spans="13:15" ht="13.2">
      <c r="M738" s="85"/>
      <c r="N738" s="85"/>
      <c r="O738" s="85"/>
    </row>
    <row r="739" spans="13:15" ht="13.2">
      <c r="M739" s="85"/>
      <c r="N739" s="85"/>
      <c r="O739" s="85"/>
    </row>
    <row r="740" spans="13:15" ht="13.2">
      <c r="M740" s="85"/>
      <c r="N740" s="85"/>
      <c r="O740" s="85"/>
    </row>
    <row r="741" spans="13:15" ht="13.2">
      <c r="M741" s="85"/>
      <c r="N741" s="85"/>
      <c r="O741" s="85"/>
    </row>
    <row r="742" spans="13:15" ht="13.2">
      <c r="M742" s="85"/>
      <c r="N742" s="85"/>
      <c r="O742" s="85"/>
    </row>
    <row r="743" spans="13:15" ht="13.2">
      <c r="M743" s="85"/>
      <c r="N743" s="85"/>
      <c r="O743" s="85"/>
    </row>
    <row r="744" spans="13:15" ht="13.2">
      <c r="M744" s="85"/>
      <c r="N744" s="85"/>
      <c r="O744" s="85"/>
    </row>
    <row r="745" spans="13:15" ht="13.2">
      <c r="M745" s="85"/>
      <c r="N745" s="85"/>
      <c r="O745" s="85"/>
    </row>
    <row r="746" spans="13:15" ht="13.2">
      <c r="M746" s="85"/>
      <c r="N746" s="85"/>
      <c r="O746" s="85"/>
    </row>
    <row r="747" spans="13:15" ht="13.2">
      <c r="M747" s="85"/>
      <c r="N747" s="85"/>
      <c r="O747" s="85"/>
    </row>
    <row r="748" spans="13:15" ht="13.2">
      <c r="M748" s="85"/>
      <c r="N748" s="85"/>
      <c r="O748" s="85"/>
    </row>
    <row r="749" spans="13:15" ht="13.2">
      <c r="M749" s="85"/>
      <c r="N749" s="85"/>
      <c r="O749" s="85"/>
    </row>
    <row r="750" spans="13:15" ht="13.2">
      <c r="M750" s="85"/>
      <c r="N750" s="85"/>
      <c r="O750" s="85"/>
    </row>
    <row r="751" spans="13:15" ht="13.2">
      <c r="M751" s="85"/>
      <c r="N751" s="85"/>
      <c r="O751" s="85"/>
    </row>
    <row r="752" spans="13:15" ht="13.2">
      <c r="M752" s="85"/>
      <c r="N752" s="85"/>
      <c r="O752" s="85"/>
    </row>
    <row r="753" spans="13:15" ht="13.2">
      <c r="M753" s="85"/>
      <c r="N753" s="85"/>
      <c r="O753" s="85"/>
    </row>
    <row r="754" spans="13:15" ht="13.2">
      <c r="M754" s="85"/>
      <c r="N754" s="85"/>
      <c r="O754" s="85"/>
    </row>
    <row r="755" spans="13:15" ht="13.2">
      <c r="M755" s="85"/>
      <c r="N755" s="85"/>
      <c r="O755" s="85"/>
    </row>
    <row r="756" spans="13:15" ht="13.2">
      <c r="M756" s="85"/>
      <c r="N756" s="85"/>
      <c r="O756" s="85"/>
    </row>
    <row r="757" spans="13:15" ht="13.2">
      <c r="M757" s="85"/>
      <c r="N757" s="85"/>
      <c r="O757" s="85"/>
    </row>
    <row r="758" spans="13:15" ht="13.2">
      <c r="M758" s="85"/>
      <c r="N758" s="85"/>
      <c r="O758" s="85"/>
    </row>
    <row r="759" spans="13:15" ht="13.2">
      <c r="M759" s="85"/>
      <c r="N759" s="85"/>
      <c r="O759" s="85"/>
    </row>
    <row r="760" spans="13:15" ht="13.2">
      <c r="M760" s="85"/>
      <c r="N760" s="85"/>
      <c r="O760" s="85"/>
    </row>
    <row r="761" spans="13:15" ht="13.2">
      <c r="M761" s="85"/>
      <c r="N761" s="85"/>
      <c r="O761" s="85"/>
    </row>
    <row r="762" spans="13:15" ht="13.2">
      <c r="M762" s="85"/>
      <c r="N762" s="85"/>
      <c r="O762" s="85"/>
    </row>
    <row r="763" spans="13:15" ht="13.2">
      <c r="M763" s="85"/>
      <c r="N763" s="85"/>
      <c r="O763" s="85"/>
    </row>
    <row r="764" spans="13:15" ht="13.2">
      <c r="M764" s="85"/>
      <c r="N764" s="85"/>
      <c r="O764" s="85"/>
    </row>
    <row r="765" spans="13:15" ht="13.2">
      <c r="M765" s="85"/>
      <c r="N765" s="85"/>
      <c r="O765" s="85"/>
    </row>
    <row r="766" spans="13:15" ht="13.2">
      <c r="M766" s="85"/>
      <c r="N766" s="85"/>
      <c r="O766" s="85"/>
    </row>
    <row r="767" spans="13:15" ht="13.2">
      <c r="M767" s="85"/>
      <c r="N767" s="85"/>
      <c r="O767" s="85"/>
    </row>
    <row r="768" spans="13:15" ht="13.2">
      <c r="M768" s="85"/>
      <c r="N768" s="85"/>
      <c r="O768" s="85"/>
    </row>
    <row r="769" spans="13:15" ht="13.2">
      <c r="M769" s="85"/>
      <c r="N769" s="85"/>
      <c r="O769" s="85"/>
    </row>
    <row r="770" spans="13:15" ht="13.2">
      <c r="M770" s="85"/>
      <c r="N770" s="85"/>
      <c r="O770" s="85"/>
    </row>
    <row r="771" spans="13:15" ht="13.2">
      <c r="M771" s="85"/>
      <c r="N771" s="85"/>
      <c r="O771" s="85"/>
    </row>
    <row r="772" spans="13:15" ht="13.2">
      <c r="M772" s="85"/>
      <c r="N772" s="85"/>
      <c r="O772" s="85"/>
    </row>
    <row r="773" spans="13:15" ht="13.2">
      <c r="M773" s="85"/>
      <c r="N773" s="85"/>
      <c r="O773" s="85"/>
    </row>
    <row r="774" spans="13:15" ht="13.2">
      <c r="M774" s="85"/>
      <c r="N774" s="85"/>
      <c r="O774" s="85"/>
    </row>
    <row r="775" spans="13:15" ht="13.2">
      <c r="M775" s="85"/>
      <c r="N775" s="85"/>
      <c r="O775" s="85"/>
    </row>
    <row r="776" spans="13:15" ht="13.2">
      <c r="M776" s="85"/>
      <c r="N776" s="85"/>
      <c r="O776" s="85"/>
    </row>
    <row r="777" spans="13:15" ht="13.2">
      <c r="M777" s="85"/>
      <c r="N777" s="85"/>
      <c r="O777" s="85"/>
    </row>
    <row r="778" spans="13:15" ht="13.2">
      <c r="M778" s="85"/>
      <c r="N778" s="85"/>
      <c r="O778" s="85"/>
    </row>
    <row r="779" spans="13:15" ht="13.2">
      <c r="M779" s="85"/>
      <c r="N779" s="85"/>
      <c r="O779" s="85"/>
    </row>
    <row r="780" spans="13:15" ht="13.2">
      <c r="M780" s="85"/>
      <c r="N780" s="85"/>
      <c r="O780" s="85"/>
    </row>
    <row r="781" spans="13:15" ht="13.2">
      <c r="M781" s="85"/>
      <c r="N781" s="85"/>
      <c r="O781" s="85"/>
    </row>
    <row r="782" spans="13:15" ht="13.2">
      <c r="M782" s="85"/>
      <c r="N782" s="85"/>
      <c r="O782" s="85"/>
    </row>
    <row r="783" spans="13:15" ht="13.2">
      <c r="M783" s="85"/>
      <c r="N783" s="85"/>
      <c r="O783" s="85"/>
    </row>
    <row r="784" spans="13:15" ht="13.2">
      <c r="M784" s="85"/>
      <c r="N784" s="85"/>
      <c r="O784" s="85"/>
    </row>
    <row r="785" spans="13:15" ht="13.2">
      <c r="M785" s="85"/>
      <c r="N785" s="85"/>
      <c r="O785" s="85"/>
    </row>
    <row r="786" spans="13:15" ht="13.2">
      <c r="M786" s="85"/>
      <c r="N786" s="85"/>
      <c r="O786" s="85"/>
    </row>
    <row r="787" spans="13:15" ht="13.2">
      <c r="M787" s="85"/>
      <c r="N787" s="85"/>
      <c r="O787" s="85"/>
    </row>
    <row r="788" spans="13:15" ht="13.2">
      <c r="M788" s="85"/>
      <c r="N788" s="85"/>
      <c r="O788" s="85"/>
    </row>
    <row r="789" spans="13:15" ht="13.2">
      <c r="M789" s="85"/>
      <c r="N789" s="85"/>
      <c r="O789" s="85"/>
    </row>
    <row r="790" spans="13:15" ht="13.2">
      <c r="M790" s="85"/>
      <c r="N790" s="85"/>
      <c r="O790" s="85"/>
    </row>
    <row r="791" spans="13:15" ht="13.2">
      <c r="M791" s="85"/>
      <c r="N791" s="85"/>
      <c r="O791" s="85"/>
    </row>
    <row r="792" spans="13:15" ht="13.2">
      <c r="M792" s="85"/>
      <c r="N792" s="85"/>
      <c r="O792" s="85"/>
    </row>
    <row r="793" spans="13:15" ht="13.2">
      <c r="M793" s="85"/>
      <c r="N793" s="85"/>
      <c r="O793" s="85"/>
    </row>
    <row r="794" spans="13:15" ht="13.2">
      <c r="M794" s="85"/>
      <c r="N794" s="85"/>
      <c r="O794" s="85"/>
    </row>
    <row r="795" spans="13:15" ht="13.2">
      <c r="M795" s="85"/>
      <c r="N795" s="85"/>
      <c r="O795" s="85"/>
    </row>
    <row r="796" spans="13:15" ht="13.2">
      <c r="M796" s="85"/>
      <c r="N796" s="85"/>
      <c r="O796" s="85"/>
    </row>
    <row r="797" spans="13:15" ht="13.2">
      <c r="M797" s="85"/>
      <c r="N797" s="85"/>
      <c r="O797" s="85"/>
    </row>
    <row r="798" spans="13:15" ht="13.2">
      <c r="M798" s="85"/>
      <c r="N798" s="85"/>
      <c r="O798" s="85"/>
    </row>
    <row r="799" spans="13:15" ht="13.2">
      <c r="M799" s="85"/>
      <c r="N799" s="85"/>
      <c r="O799" s="85"/>
    </row>
    <row r="800" spans="13:15" ht="13.2">
      <c r="M800" s="85"/>
      <c r="N800" s="85"/>
      <c r="O800" s="85"/>
    </row>
    <row r="801" spans="13:15" ht="13.2">
      <c r="M801" s="85"/>
      <c r="N801" s="85"/>
      <c r="O801" s="85"/>
    </row>
    <row r="802" spans="13:15" ht="13.2">
      <c r="M802" s="85"/>
      <c r="N802" s="85"/>
      <c r="O802" s="85"/>
    </row>
    <row r="803" spans="13:15" ht="13.2">
      <c r="M803" s="85"/>
      <c r="N803" s="85"/>
      <c r="O803" s="85"/>
    </row>
    <row r="804" spans="13:15" ht="13.2">
      <c r="M804" s="85"/>
      <c r="N804" s="85"/>
      <c r="O804" s="85"/>
    </row>
    <row r="805" spans="13:15" ht="13.2">
      <c r="M805" s="85"/>
      <c r="N805" s="85"/>
      <c r="O805" s="85"/>
    </row>
    <row r="806" spans="13:15" ht="13.2">
      <c r="M806" s="85"/>
      <c r="N806" s="85"/>
      <c r="O806" s="85"/>
    </row>
    <row r="807" spans="13:15" ht="13.2">
      <c r="M807" s="85"/>
      <c r="N807" s="85"/>
      <c r="O807" s="85"/>
    </row>
    <row r="808" spans="13:15" ht="13.2">
      <c r="M808" s="85"/>
      <c r="N808" s="85"/>
      <c r="O808" s="85"/>
    </row>
    <row r="809" spans="13:15" ht="13.2">
      <c r="M809" s="85"/>
      <c r="N809" s="85"/>
      <c r="O809" s="85"/>
    </row>
    <row r="810" spans="13:15" ht="13.2">
      <c r="M810" s="85"/>
      <c r="N810" s="85"/>
      <c r="O810" s="85"/>
    </row>
    <row r="811" spans="13:15" ht="13.2">
      <c r="M811" s="85"/>
      <c r="N811" s="85"/>
      <c r="O811" s="85"/>
    </row>
    <row r="812" spans="13:15" ht="13.2">
      <c r="M812" s="85"/>
      <c r="N812" s="85"/>
      <c r="O812" s="85"/>
    </row>
    <row r="813" spans="13:15" ht="13.2">
      <c r="M813" s="85"/>
      <c r="N813" s="85"/>
      <c r="O813" s="85"/>
    </row>
    <row r="814" spans="13:15" ht="13.2">
      <c r="M814" s="85"/>
      <c r="N814" s="85"/>
      <c r="O814" s="85"/>
    </row>
    <row r="815" spans="13:15" ht="13.2">
      <c r="M815" s="85"/>
      <c r="N815" s="85"/>
      <c r="O815" s="85"/>
    </row>
    <row r="816" spans="13:15" ht="13.2">
      <c r="M816" s="85"/>
      <c r="N816" s="85"/>
      <c r="O816" s="85"/>
    </row>
    <row r="817" spans="13:15" ht="13.2">
      <c r="M817" s="85"/>
      <c r="N817" s="85"/>
      <c r="O817" s="85"/>
    </row>
    <row r="818" spans="13:15" ht="13.2">
      <c r="M818" s="85"/>
      <c r="N818" s="85"/>
      <c r="O818" s="85"/>
    </row>
    <row r="819" spans="13:15" ht="13.2">
      <c r="M819" s="85"/>
      <c r="N819" s="85"/>
      <c r="O819" s="85"/>
    </row>
    <row r="820" spans="13:15" ht="13.2">
      <c r="M820" s="85"/>
      <c r="N820" s="85"/>
      <c r="O820" s="85"/>
    </row>
    <row r="821" spans="13:15" ht="13.2">
      <c r="M821" s="85"/>
      <c r="N821" s="85"/>
      <c r="O821" s="85"/>
    </row>
    <row r="822" spans="13:15" ht="13.2">
      <c r="M822" s="85"/>
      <c r="N822" s="85"/>
      <c r="O822" s="85"/>
    </row>
    <row r="823" spans="13:15" ht="13.2">
      <c r="M823" s="85"/>
      <c r="N823" s="85"/>
      <c r="O823" s="85"/>
    </row>
    <row r="824" spans="13:15" ht="13.2">
      <c r="M824" s="85"/>
      <c r="N824" s="85"/>
      <c r="O824" s="85"/>
    </row>
    <row r="825" spans="13:15" ht="13.2">
      <c r="M825" s="85"/>
      <c r="N825" s="85"/>
      <c r="O825" s="85"/>
    </row>
    <row r="826" spans="13:15" ht="13.2">
      <c r="M826" s="85"/>
      <c r="N826" s="85"/>
      <c r="O826" s="85"/>
    </row>
    <row r="827" spans="13:15" ht="13.2">
      <c r="M827" s="85"/>
      <c r="N827" s="85"/>
      <c r="O827" s="85"/>
    </row>
    <row r="828" spans="13:15" ht="13.2">
      <c r="M828" s="85"/>
      <c r="N828" s="85"/>
      <c r="O828" s="85"/>
    </row>
    <row r="829" spans="13:15" ht="13.2">
      <c r="M829" s="85"/>
      <c r="N829" s="85"/>
      <c r="O829" s="85"/>
    </row>
    <row r="830" spans="13:15" ht="13.2">
      <c r="M830" s="85"/>
      <c r="N830" s="85"/>
      <c r="O830" s="85"/>
    </row>
    <row r="831" spans="13:15" ht="13.2">
      <c r="M831" s="85"/>
      <c r="N831" s="85"/>
      <c r="O831" s="85"/>
    </row>
    <row r="832" spans="13:15" ht="13.2">
      <c r="M832" s="85"/>
      <c r="N832" s="85"/>
      <c r="O832" s="85"/>
    </row>
    <row r="833" spans="13:15" ht="13.2">
      <c r="M833" s="85"/>
      <c r="N833" s="85"/>
      <c r="O833" s="85"/>
    </row>
    <row r="834" spans="13:15" ht="13.2">
      <c r="M834" s="85"/>
      <c r="N834" s="85"/>
      <c r="O834" s="85"/>
    </row>
    <row r="835" spans="13:15" ht="13.2">
      <c r="M835" s="85"/>
      <c r="N835" s="85"/>
      <c r="O835" s="85"/>
    </row>
    <row r="836" spans="13:15" ht="13.2">
      <c r="M836" s="85"/>
      <c r="N836" s="85"/>
      <c r="O836" s="85"/>
    </row>
    <row r="837" spans="13:15" ht="13.2">
      <c r="M837" s="85"/>
      <c r="N837" s="85"/>
      <c r="O837" s="85"/>
    </row>
    <row r="838" spans="13:15" ht="13.2">
      <c r="M838" s="85"/>
      <c r="N838" s="85"/>
      <c r="O838" s="85"/>
    </row>
    <row r="839" spans="13:15" ht="13.2">
      <c r="M839" s="85"/>
      <c r="N839" s="85"/>
      <c r="O839" s="85"/>
    </row>
    <row r="840" spans="13:15" ht="13.2">
      <c r="M840" s="85"/>
      <c r="N840" s="85"/>
      <c r="O840" s="85"/>
    </row>
    <row r="841" spans="13:15" ht="13.2">
      <c r="M841" s="85"/>
      <c r="N841" s="85"/>
      <c r="O841" s="85"/>
    </row>
    <row r="842" spans="13:15" ht="13.2">
      <c r="M842" s="85"/>
      <c r="N842" s="85"/>
      <c r="O842" s="85"/>
    </row>
    <row r="843" spans="13:15" ht="13.2">
      <c r="M843" s="85"/>
      <c r="N843" s="85"/>
      <c r="O843" s="85"/>
    </row>
    <row r="844" spans="13:15" ht="13.2">
      <c r="M844" s="85"/>
      <c r="N844" s="85"/>
      <c r="O844" s="85"/>
    </row>
    <row r="845" spans="13:15" ht="13.2">
      <c r="M845" s="85"/>
      <c r="N845" s="85"/>
      <c r="O845" s="85"/>
    </row>
    <row r="846" spans="13:15" ht="13.2">
      <c r="M846" s="85"/>
      <c r="N846" s="85"/>
      <c r="O846" s="85"/>
    </row>
    <row r="847" spans="13:15" ht="13.2">
      <c r="M847" s="85"/>
      <c r="N847" s="85"/>
      <c r="O847" s="85"/>
    </row>
    <row r="848" spans="13:15" ht="13.2">
      <c r="M848" s="85"/>
      <c r="N848" s="85"/>
      <c r="O848" s="85"/>
    </row>
    <row r="849" spans="13:15" ht="13.2">
      <c r="M849" s="85"/>
      <c r="N849" s="85"/>
      <c r="O849" s="85"/>
    </row>
    <row r="850" spans="13:15" ht="13.2">
      <c r="M850" s="85"/>
      <c r="N850" s="85"/>
      <c r="O850" s="85"/>
    </row>
    <row r="851" spans="13:15" ht="13.2">
      <c r="M851" s="85"/>
      <c r="N851" s="85"/>
      <c r="O851" s="85"/>
    </row>
    <row r="852" spans="13:15" ht="13.2">
      <c r="M852" s="85"/>
      <c r="N852" s="85"/>
      <c r="O852" s="85"/>
    </row>
    <row r="853" spans="13:15" ht="13.2">
      <c r="M853" s="85"/>
      <c r="N853" s="85"/>
      <c r="O853" s="85"/>
    </row>
    <row r="854" spans="13:15" ht="13.2">
      <c r="M854" s="85"/>
      <c r="N854" s="85"/>
      <c r="O854" s="85"/>
    </row>
    <row r="855" spans="13:15" ht="13.2">
      <c r="M855" s="85"/>
      <c r="N855" s="85"/>
      <c r="O855" s="85"/>
    </row>
    <row r="856" spans="13:15" ht="13.2">
      <c r="M856" s="85"/>
      <c r="N856" s="85"/>
      <c r="O856" s="85"/>
    </row>
    <row r="857" spans="13:15" ht="13.2">
      <c r="M857" s="85"/>
      <c r="N857" s="85"/>
      <c r="O857" s="85"/>
    </row>
    <row r="858" spans="13:15" ht="13.2">
      <c r="M858" s="85"/>
      <c r="N858" s="85"/>
      <c r="O858" s="85"/>
    </row>
    <row r="859" spans="13:15" ht="13.2">
      <c r="M859" s="85"/>
      <c r="N859" s="85"/>
      <c r="O859" s="85"/>
    </row>
    <row r="860" spans="13:15" ht="13.2">
      <c r="M860" s="85"/>
      <c r="N860" s="85"/>
      <c r="O860" s="85"/>
    </row>
    <row r="861" spans="13:15" ht="13.2">
      <c r="M861" s="85"/>
      <c r="N861" s="85"/>
      <c r="O861" s="85"/>
    </row>
    <row r="862" spans="13:15" ht="13.2">
      <c r="M862" s="85"/>
      <c r="N862" s="85"/>
      <c r="O862" s="85"/>
    </row>
    <row r="863" spans="13:15" ht="13.2">
      <c r="M863" s="85"/>
      <c r="N863" s="85"/>
      <c r="O863" s="85"/>
    </row>
    <row r="864" spans="13:15" ht="13.2">
      <c r="M864" s="85"/>
      <c r="N864" s="85"/>
      <c r="O864" s="85"/>
    </row>
    <row r="865" spans="13:15" ht="13.2">
      <c r="M865" s="85"/>
      <c r="N865" s="85"/>
      <c r="O865" s="85"/>
    </row>
    <row r="866" spans="13:15" ht="13.2">
      <c r="M866" s="85"/>
      <c r="N866" s="85"/>
      <c r="O866" s="85"/>
    </row>
    <row r="867" spans="13:15" ht="13.2">
      <c r="M867" s="85"/>
      <c r="N867" s="85"/>
      <c r="O867" s="85"/>
    </row>
    <row r="868" spans="13:15" ht="13.2">
      <c r="M868" s="85"/>
      <c r="N868" s="85"/>
      <c r="O868" s="85"/>
    </row>
    <row r="869" spans="13:15" ht="13.2">
      <c r="M869" s="85"/>
      <c r="N869" s="85"/>
      <c r="O869" s="85"/>
    </row>
    <row r="870" spans="13:15" ht="13.2">
      <c r="M870" s="85"/>
      <c r="N870" s="85"/>
      <c r="O870" s="85"/>
    </row>
    <row r="871" spans="13:15" ht="13.2">
      <c r="M871" s="85"/>
      <c r="N871" s="85"/>
      <c r="O871" s="85"/>
    </row>
    <row r="872" spans="13:15" ht="13.2">
      <c r="M872" s="85"/>
      <c r="N872" s="85"/>
      <c r="O872" s="85"/>
    </row>
    <row r="873" spans="13:15" ht="13.2">
      <c r="M873" s="85"/>
      <c r="N873" s="85"/>
      <c r="O873" s="85"/>
    </row>
    <row r="874" spans="13:15" ht="13.2">
      <c r="M874" s="85"/>
      <c r="N874" s="85"/>
      <c r="O874" s="85"/>
    </row>
    <row r="875" spans="13:15" ht="13.2">
      <c r="M875" s="85"/>
      <c r="N875" s="85"/>
      <c r="O875" s="85"/>
    </row>
    <row r="876" spans="13:15" ht="13.2">
      <c r="M876" s="85"/>
      <c r="N876" s="85"/>
      <c r="O876" s="85"/>
    </row>
    <row r="877" spans="13:15" ht="13.2">
      <c r="M877" s="85"/>
      <c r="N877" s="85"/>
      <c r="O877" s="85"/>
    </row>
    <row r="878" spans="13:15" ht="13.2">
      <c r="M878" s="85"/>
      <c r="N878" s="85"/>
      <c r="O878" s="85"/>
    </row>
    <row r="879" spans="13:15" ht="13.2">
      <c r="M879" s="85"/>
      <c r="N879" s="85"/>
      <c r="O879" s="85"/>
    </row>
    <row r="880" spans="13:15" ht="13.2">
      <c r="M880" s="85"/>
      <c r="N880" s="85"/>
      <c r="O880" s="85"/>
    </row>
    <row r="881" spans="13:15" ht="13.2">
      <c r="M881" s="85"/>
      <c r="N881" s="85"/>
      <c r="O881" s="85"/>
    </row>
    <row r="882" spans="13:15" ht="13.2">
      <c r="M882" s="85"/>
      <c r="N882" s="85"/>
      <c r="O882" s="85"/>
    </row>
    <row r="883" spans="13:15" ht="13.2">
      <c r="M883" s="85"/>
      <c r="N883" s="85"/>
      <c r="O883" s="85"/>
    </row>
    <row r="884" spans="13:15" ht="13.2">
      <c r="M884" s="85"/>
      <c r="N884" s="85"/>
      <c r="O884" s="85"/>
    </row>
    <row r="885" spans="13:15" ht="13.2">
      <c r="M885" s="85"/>
      <c r="N885" s="85"/>
      <c r="O885" s="85"/>
    </row>
    <row r="886" spans="13:15" ht="13.2">
      <c r="M886" s="85"/>
      <c r="N886" s="85"/>
      <c r="O886" s="85"/>
    </row>
    <row r="887" spans="13:15" ht="13.2">
      <c r="M887" s="85"/>
      <c r="N887" s="85"/>
      <c r="O887" s="85"/>
    </row>
    <row r="888" spans="13:15" ht="13.2">
      <c r="M888" s="85"/>
      <c r="N888" s="85"/>
      <c r="O888" s="85"/>
    </row>
    <row r="889" spans="13:15" ht="13.2">
      <c r="M889" s="85"/>
      <c r="N889" s="85"/>
      <c r="O889" s="85"/>
    </row>
    <row r="890" spans="13:15" ht="13.2">
      <c r="M890" s="85"/>
      <c r="N890" s="85"/>
      <c r="O890" s="85"/>
    </row>
    <row r="891" spans="13:15" ht="13.2">
      <c r="M891" s="85"/>
      <c r="N891" s="85"/>
      <c r="O891" s="85"/>
    </row>
    <row r="892" spans="13:15" ht="13.2">
      <c r="M892" s="85"/>
      <c r="N892" s="85"/>
      <c r="O892" s="85"/>
    </row>
    <row r="893" spans="13:15" ht="13.2">
      <c r="M893" s="85"/>
      <c r="N893" s="85"/>
      <c r="O893" s="85"/>
    </row>
    <row r="894" spans="13:15" ht="13.2">
      <c r="M894" s="85"/>
      <c r="N894" s="85"/>
      <c r="O894" s="85"/>
    </row>
    <row r="895" spans="13:15" ht="13.2">
      <c r="M895" s="85"/>
      <c r="N895" s="85"/>
      <c r="O895" s="85"/>
    </row>
    <row r="896" spans="13:15" ht="13.2">
      <c r="M896" s="85"/>
      <c r="N896" s="85"/>
      <c r="O896" s="85"/>
    </row>
    <row r="897" spans="13:15" ht="13.2">
      <c r="M897" s="85"/>
      <c r="N897" s="85"/>
      <c r="O897" s="85"/>
    </row>
    <row r="898" spans="13:15" ht="13.2">
      <c r="M898" s="85"/>
      <c r="N898" s="85"/>
      <c r="O898" s="85"/>
    </row>
    <row r="899" spans="13:15" ht="13.2">
      <c r="M899" s="85"/>
      <c r="N899" s="85"/>
      <c r="O899" s="85"/>
    </row>
    <row r="900" spans="13:15" ht="13.2">
      <c r="M900" s="85"/>
      <c r="N900" s="85"/>
      <c r="O900" s="85"/>
    </row>
    <row r="901" spans="13:15" ht="13.2">
      <c r="M901" s="85"/>
      <c r="N901" s="85"/>
      <c r="O901" s="85"/>
    </row>
    <row r="902" spans="13:15" ht="13.2">
      <c r="M902" s="85"/>
      <c r="N902" s="85"/>
      <c r="O902" s="85"/>
    </row>
    <row r="903" spans="13:15" ht="13.2">
      <c r="M903" s="85"/>
      <c r="N903" s="85"/>
      <c r="O903" s="85"/>
    </row>
    <row r="904" spans="13:15" ht="13.2">
      <c r="M904" s="85"/>
      <c r="N904" s="85"/>
      <c r="O904" s="85"/>
    </row>
    <row r="905" spans="13:15" ht="13.2">
      <c r="M905" s="85"/>
      <c r="N905" s="85"/>
      <c r="O905" s="85"/>
    </row>
    <row r="906" spans="13:15" ht="13.2">
      <c r="M906" s="85"/>
      <c r="N906" s="85"/>
      <c r="O906" s="85"/>
    </row>
    <row r="907" spans="13:15" ht="13.2">
      <c r="M907" s="85"/>
      <c r="N907" s="85"/>
      <c r="O907" s="85"/>
    </row>
    <row r="908" spans="13:15" ht="13.2">
      <c r="M908" s="85"/>
      <c r="N908" s="85"/>
      <c r="O908" s="85"/>
    </row>
    <row r="909" spans="13:15" ht="13.2">
      <c r="M909" s="85"/>
      <c r="N909" s="85"/>
      <c r="O909" s="85"/>
    </row>
    <row r="910" spans="13:15" ht="13.2">
      <c r="M910" s="85"/>
      <c r="N910" s="85"/>
      <c r="O910" s="85"/>
    </row>
    <row r="911" spans="13:15" ht="13.2">
      <c r="M911" s="85"/>
      <c r="N911" s="85"/>
      <c r="O911" s="85"/>
    </row>
    <row r="912" spans="13:15" ht="13.2">
      <c r="M912" s="85"/>
      <c r="N912" s="85"/>
      <c r="O912" s="85"/>
    </row>
    <row r="913" spans="13:15" ht="13.2">
      <c r="M913" s="85"/>
      <c r="N913" s="85"/>
      <c r="O913" s="85"/>
    </row>
    <row r="914" spans="13:15" ht="13.2">
      <c r="M914" s="85"/>
      <c r="N914" s="85"/>
      <c r="O914" s="85"/>
    </row>
    <row r="915" spans="13:15" ht="13.2">
      <c r="M915" s="85"/>
      <c r="N915" s="85"/>
      <c r="O915" s="85"/>
    </row>
    <row r="916" spans="13:15" ht="13.2">
      <c r="M916" s="85"/>
      <c r="N916" s="85"/>
      <c r="O916" s="85"/>
    </row>
    <row r="917" spans="13:15" ht="13.2">
      <c r="M917" s="85"/>
      <c r="N917" s="85"/>
      <c r="O917" s="85"/>
    </row>
    <row r="918" spans="13:15" ht="13.2">
      <c r="M918" s="85"/>
      <c r="N918" s="85"/>
      <c r="O918" s="85"/>
    </row>
    <row r="919" spans="13:15" ht="13.2">
      <c r="M919" s="85"/>
      <c r="N919" s="85"/>
      <c r="O919" s="85"/>
    </row>
    <row r="920" spans="13:15" ht="13.2">
      <c r="M920" s="85"/>
      <c r="N920" s="85"/>
      <c r="O920" s="85"/>
    </row>
    <row r="921" spans="13:15" ht="13.2">
      <c r="M921" s="85"/>
      <c r="N921" s="85"/>
      <c r="O921" s="85"/>
    </row>
    <row r="922" spans="13:15" ht="13.2">
      <c r="M922" s="85"/>
      <c r="N922" s="85"/>
      <c r="O922" s="85"/>
    </row>
    <row r="923" spans="13:15" ht="13.2">
      <c r="M923" s="85"/>
      <c r="N923" s="85"/>
      <c r="O923" s="85"/>
    </row>
    <row r="924" spans="13:15" ht="13.2">
      <c r="M924" s="85"/>
      <c r="N924" s="85"/>
      <c r="O924" s="85"/>
    </row>
    <row r="925" spans="13:15" ht="13.2">
      <c r="M925" s="85"/>
      <c r="N925" s="85"/>
      <c r="O925" s="85"/>
    </row>
    <row r="926" spans="13:15" ht="13.2">
      <c r="M926" s="85"/>
      <c r="N926" s="85"/>
      <c r="O926" s="85"/>
    </row>
    <row r="927" spans="13:15" ht="13.2">
      <c r="M927" s="85"/>
      <c r="N927" s="85"/>
      <c r="O927" s="85"/>
    </row>
    <row r="928" spans="13:15" ht="13.2">
      <c r="M928" s="85"/>
      <c r="N928" s="85"/>
      <c r="O928" s="85"/>
    </row>
    <row r="929" spans="13:15" ht="13.2">
      <c r="M929" s="85"/>
      <c r="N929" s="85"/>
      <c r="O929" s="85"/>
    </row>
    <row r="930" spans="13:15" ht="13.2">
      <c r="M930" s="85"/>
      <c r="N930" s="85"/>
      <c r="O930" s="85"/>
    </row>
    <row r="931" spans="13:15" ht="13.2">
      <c r="M931" s="85"/>
      <c r="N931" s="85"/>
      <c r="O931" s="85"/>
    </row>
    <row r="932" spans="13:15" ht="13.2">
      <c r="M932" s="85"/>
      <c r="N932" s="85"/>
      <c r="O932" s="85"/>
    </row>
    <row r="933" spans="13:15" ht="13.2">
      <c r="M933" s="85"/>
      <c r="N933" s="85"/>
      <c r="O933" s="85"/>
    </row>
    <row r="934" spans="13:15" ht="13.2">
      <c r="M934" s="85"/>
      <c r="N934" s="85"/>
      <c r="O934" s="85"/>
    </row>
    <row r="935" spans="13:15" ht="13.2">
      <c r="M935" s="85"/>
      <c r="N935" s="85"/>
      <c r="O935" s="85"/>
    </row>
    <row r="936" spans="13:15" ht="13.2">
      <c r="M936" s="85"/>
      <c r="N936" s="85"/>
      <c r="O936" s="85"/>
    </row>
    <row r="937" spans="13:15" ht="13.2">
      <c r="M937" s="85"/>
      <c r="N937" s="85"/>
      <c r="O937" s="85"/>
    </row>
    <row r="938" spans="13:15" ht="13.2">
      <c r="M938" s="85"/>
      <c r="N938" s="85"/>
      <c r="O938" s="85"/>
    </row>
    <row r="939" spans="13:15" ht="13.2">
      <c r="M939" s="85"/>
      <c r="N939" s="85"/>
      <c r="O939" s="85"/>
    </row>
    <row r="940" spans="13:15" ht="13.2">
      <c r="M940" s="85"/>
      <c r="N940" s="85"/>
      <c r="O940" s="85"/>
    </row>
    <row r="941" spans="13:15" ht="13.2">
      <c r="M941" s="85"/>
      <c r="N941" s="85"/>
      <c r="O941" s="85"/>
    </row>
    <row r="942" spans="13:15" ht="13.2">
      <c r="M942" s="85"/>
      <c r="N942" s="85"/>
      <c r="O942" s="85"/>
    </row>
    <row r="943" spans="13:15" ht="13.2">
      <c r="M943" s="85"/>
      <c r="N943" s="85"/>
      <c r="O943" s="85"/>
    </row>
    <row r="944" spans="13:15" ht="13.2">
      <c r="M944" s="85"/>
      <c r="N944" s="85"/>
      <c r="O944" s="85"/>
    </row>
    <row r="945" spans="13:15" ht="13.2">
      <c r="M945" s="85"/>
      <c r="N945" s="85"/>
      <c r="O945" s="85"/>
    </row>
    <row r="946" spans="13:15" ht="13.2">
      <c r="M946" s="85"/>
      <c r="N946" s="85"/>
      <c r="O946" s="85"/>
    </row>
    <row r="947" spans="13:15" ht="13.2">
      <c r="M947" s="85"/>
      <c r="N947" s="85"/>
      <c r="O947" s="85"/>
    </row>
    <row r="948" spans="13:15" ht="13.2">
      <c r="M948" s="85"/>
      <c r="N948" s="85"/>
      <c r="O948" s="85"/>
    </row>
    <row r="949" spans="13:15" ht="13.2">
      <c r="M949" s="85"/>
      <c r="N949" s="85"/>
      <c r="O949" s="85"/>
    </row>
    <row r="950" spans="13:15" ht="13.2">
      <c r="M950" s="85"/>
      <c r="N950" s="85"/>
      <c r="O950" s="85"/>
    </row>
    <row r="951" spans="13:15" ht="13.2">
      <c r="M951" s="85"/>
      <c r="N951" s="85"/>
      <c r="O951" s="85"/>
    </row>
    <row r="952" spans="13:15" ht="13.2">
      <c r="M952" s="85"/>
      <c r="N952" s="85"/>
      <c r="O952" s="85"/>
    </row>
    <row r="953" spans="13:15" ht="13.2">
      <c r="M953" s="85"/>
      <c r="N953" s="85"/>
      <c r="O953" s="85"/>
    </row>
    <row r="954" spans="13:15" ht="13.2">
      <c r="M954" s="85"/>
      <c r="N954" s="85"/>
      <c r="O954" s="85"/>
    </row>
    <row r="955" spans="13:15" ht="13.2">
      <c r="M955" s="85"/>
      <c r="N955" s="85"/>
      <c r="O955" s="85"/>
    </row>
    <row r="956" spans="13:15" ht="13.2">
      <c r="M956" s="85"/>
      <c r="N956" s="85"/>
      <c r="O956" s="85"/>
    </row>
    <row r="957" spans="13:15" ht="13.2">
      <c r="M957" s="85"/>
      <c r="N957" s="85"/>
      <c r="O957" s="85"/>
    </row>
    <row r="958" spans="13:15" ht="13.2">
      <c r="M958" s="85"/>
      <c r="N958" s="85"/>
      <c r="O958" s="85"/>
    </row>
    <row r="959" spans="13:15" ht="13.2">
      <c r="M959" s="85"/>
      <c r="N959" s="85"/>
      <c r="O959" s="85"/>
    </row>
    <row r="960" spans="13:15" ht="13.2">
      <c r="M960" s="85"/>
      <c r="N960" s="85"/>
      <c r="O960" s="85"/>
    </row>
    <row r="961" spans="13:15" ht="13.2">
      <c r="M961" s="85"/>
      <c r="N961" s="85"/>
      <c r="O961" s="85"/>
    </row>
    <row r="962" spans="13:15" ht="13.2">
      <c r="M962" s="85"/>
      <c r="N962" s="85"/>
      <c r="O962" s="85"/>
    </row>
    <row r="963" spans="13:15" ht="13.2">
      <c r="M963" s="85"/>
      <c r="N963" s="85"/>
      <c r="O963" s="85"/>
    </row>
    <row r="964" spans="13:15" ht="13.2">
      <c r="M964" s="85"/>
      <c r="N964" s="85"/>
      <c r="O964" s="85"/>
    </row>
    <row r="965" spans="13:15" ht="13.2">
      <c r="M965" s="85"/>
      <c r="N965" s="85"/>
      <c r="O965" s="85"/>
    </row>
    <row r="966" spans="13:15" ht="13.2">
      <c r="M966" s="85"/>
      <c r="N966" s="85"/>
      <c r="O966" s="85"/>
    </row>
    <row r="967" spans="13:15" ht="13.2">
      <c r="M967" s="85"/>
      <c r="N967" s="85"/>
      <c r="O967" s="85"/>
    </row>
    <row r="968" spans="13:15" ht="13.2">
      <c r="M968" s="85"/>
      <c r="N968" s="85"/>
      <c r="O968" s="85"/>
    </row>
    <row r="969" spans="13:15" ht="13.2">
      <c r="M969" s="85"/>
      <c r="N969" s="85"/>
      <c r="O969" s="85"/>
    </row>
    <row r="970" spans="13:15" ht="13.2">
      <c r="M970" s="85"/>
      <c r="N970" s="85"/>
      <c r="O970" s="85"/>
    </row>
    <row r="971" spans="13:15" ht="13.2">
      <c r="M971" s="85"/>
      <c r="N971" s="85"/>
      <c r="O971" s="85"/>
    </row>
    <row r="972" spans="13:15" ht="13.2">
      <c r="M972" s="85"/>
      <c r="N972" s="85"/>
      <c r="O972" s="85"/>
    </row>
    <row r="973" spans="13:15" ht="13.2">
      <c r="M973" s="85"/>
      <c r="N973" s="85"/>
      <c r="O973" s="85"/>
    </row>
    <row r="974" spans="13:15" ht="13.2">
      <c r="M974" s="85"/>
      <c r="N974" s="85"/>
      <c r="O974" s="85"/>
    </row>
    <row r="975" spans="13:15" ht="13.2">
      <c r="M975" s="85"/>
      <c r="N975" s="85"/>
      <c r="O975" s="85"/>
    </row>
    <row r="976" spans="13:15" ht="13.2">
      <c r="M976" s="85"/>
      <c r="N976" s="85"/>
      <c r="O976" s="85"/>
    </row>
    <row r="977" spans="13:15" ht="13.2">
      <c r="M977" s="85"/>
      <c r="N977" s="85"/>
      <c r="O977" s="85"/>
    </row>
    <row r="978" spans="13:15" ht="13.2">
      <c r="M978" s="85"/>
      <c r="N978" s="85"/>
      <c r="O978" s="85"/>
    </row>
    <row r="979" spans="13:15" ht="13.2">
      <c r="M979" s="85"/>
      <c r="N979" s="85"/>
      <c r="O979" s="85"/>
    </row>
    <row r="980" spans="13:15" ht="13.2">
      <c r="M980" s="85"/>
      <c r="N980" s="85"/>
      <c r="O980" s="85"/>
    </row>
    <row r="981" spans="13:15" ht="13.2">
      <c r="M981" s="85"/>
      <c r="N981" s="85"/>
      <c r="O981" s="85"/>
    </row>
    <row r="982" spans="13:15" ht="13.2">
      <c r="M982" s="85"/>
      <c r="N982" s="85"/>
      <c r="O982" s="85"/>
    </row>
    <row r="983" spans="13:15" ht="13.2">
      <c r="M983" s="85"/>
      <c r="N983" s="85"/>
      <c r="O983" s="85"/>
    </row>
    <row r="984" spans="13:15" ht="13.2">
      <c r="M984" s="85"/>
      <c r="N984" s="85"/>
      <c r="O984" s="85"/>
    </row>
    <row r="985" spans="13:15" ht="13.2">
      <c r="M985" s="85"/>
      <c r="N985" s="85"/>
      <c r="O985" s="85"/>
    </row>
    <row r="986" spans="13:15" ht="13.2">
      <c r="M986" s="85"/>
      <c r="N986" s="85"/>
      <c r="O986" s="85"/>
    </row>
    <row r="987" spans="13:15" ht="13.2">
      <c r="M987" s="85"/>
      <c r="N987" s="85"/>
      <c r="O987" s="85"/>
    </row>
    <row r="988" spans="13:15" ht="13.2">
      <c r="M988" s="85"/>
      <c r="N988" s="85"/>
      <c r="O988" s="85"/>
    </row>
    <row r="989" spans="13:15" ht="13.2">
      <c r="M989" s="85"/>
      <c r="N989" s="85"/>
      <c r="O989" s="85"/>
    </row>
    <row r="990" spans="13:15" ht="13.2">
      <c r="M990" s="85"/>
      <c r="N990" s="85"/>
      <c r="O990" s="85"/>
    </row>
    <row r="991" spans="13:15" ht="13.2">
      <c r="M991" s="85"/>
      <c r="N991" s="85"/>
      <c r="O991" s="85"/>
    </row>
    <row r="992" spans="13:15" ht="13.2">
      <c r="M992" s="85"/>
      <c r="N992" s="85"/>
      <c r="O992" s="85"/>
    </row>
    <row r="993" spans="13:15" ht="13.2">
      <c r="M993" s="85"/>
      <c r="N993" s="85"/>
      <c r="O993" s="85"/>
    </row>
    <row r="994" spans="13:15" ht="13.2">
      <c r="M994" s="85"/>
      <c r="N994" s="85"/>
      <c r="O994" s="85"/>
    </row>
    <row r="995" spans="13:15" ht="13.2">
      <c r="M995" s="85"/>
      <c r="N995" s="85"/>
      <c r="O995" s="85"/>
    </row>
    <row r="996" spans="13:15" ht="13.2">
      <c r="M996" s="85"/>
      <c r="N996" s="85"/>
      <c r="O996" s="85"/>
    </row>
    <row r="997" spans="13:15" ht="13.2">
      <c r="M997" s="85"/>
      <c r="N997" s="85"/>
      <c r="O997" s="85"/>
    </row>
    <row r="998" spans="13:15" ht="13.2">
      <c r="M998" s="85"/>
      <c r="N998" s="85"/>
      <c r="O998" s="85"/>
    </row>
    <row r="999" spans="13:15" ht="13.2">
      <c r="M999" s="85"/>
      <c r="N999" s="85"/>
      <c r="O999" s="85"/>
    </row>
    <row r="1000" spans="13:15" ht="13.2">
      <c r="M1000" s="85"/>
      <c r="N1000" s="85"/>
      <c r="O1000" s="85"/>
    </row>
  </sheetData>
  <mergeCells count="122">
    <mergeCell ref="I68:J68"/>
    <mergeCell ref="A70:B70"/>
    <mergeCell ref="C70:D70"/>
    <mergeCell ref="E70:F70"/>
    <mergeCell ref="I70:J70"/>
    <mergeCell ref="K70:L70"/>
    <mergeCell ref="A71:B71"/>
    <mergeCell ref="C71:N71"/>
    <mergeCell ref="A58:B58"/>
    <mergeCell ref="A59:A69"/>
    <mergeCell ref="E59:F59"/>
    <mergeCell ref="G59:H59"/>
    <mergeCell ref="I59:J59"/>
    <mergeCell ref="K59:L59"/>
    <mergeCell ref="K60:L60"/>
    <mergeCell ref="K62:L62"/>
    <mergeCell ref="C63:D63"/>
    <mergeCell ref="E63:F63"/>
    <mergeCell ref="G63:H63"/>
    <mergeCell ref="I63:J63"/>
    <mergeCell ref="K63:L63"/>
    <mergeCell ref="K64:L64"/>
    <mergeCell ref="C65:D65"/>
    <mergeCell ref="E65:F65"/>
    <mergeCell ref="G65:H65"/>
    <mergeCell ref="Q64:S64"/>
    <mergeCell ref="O65:P65"/>
    <mergeCell ref="Q65:S65"/>
    <mergeCell ref="K68:L68"/>
    <mergeCell ref="C69:D69"/>
    <mergeCell ref="E69:F69"/>
    <mergeCell ref="G69:H69"/>
    <mergeCell ref="I69:J69"/>
    <mergeCell ref="K69:L69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O71:S71"/>
    <mergeCell ref="M68:N68"/>
    <mergeCell ref="O68:P68"/>
    <mergeCell ref="Q68:S68"/>
    <mergeCell ref="M69:N69"/>
    <mergeCell ref="O69:P69"/>
    <mergeCell ref="Q69:S69"/>
    <mergeCell ref="M70:N70"/>
    <mergeCell ref="C59:D59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C64:D64"/>
    <mergeCell ref="E64:F64"/>
    <mergeCell ref="G64:H64"/>
    <mergeCell ref="I64:J64"/>
    <mergeCell ref="M64:N64"/>
    <mergeCell ref="O64:P64"/>
    <mergeCell ref="M65:N65"/>
    <mergeCell ref="M66:N66"/>
    <mergeCell ref="O66:P66"/>
    <mergeCell ref="Q66:S66"/>
    <mergeCell ref="M67:N67"/>
    <mergeCell ref="O67:P67"/>
    <mergeCell ref="Q67:S67"/>
    <mergeCell ref="O70:P70"/>
    <mergeCell ref="Q70:R70"/>
    <mergeCell ref="M63:N63"/>
    <mergeCell ref="O63:P63"/>
    <mergeCell ref="Q63:S63"/>
    <mergeCell ref="G60:H60"/>
    <mergeCell ref="I60:J60"/>
    <mergeCell ref="M60:N60"/>
    <mergeCell ref="O60:P60"/>
    <mergeCell ref="Q60:S60"/>
    <mergeCell ref="O61:P61"/>
    <mergeCell ref="Q61:S61"/>
    <mergeCell ref="M59:N59"/>
    <mergeCell ref="O59:P59"/>
    <mergeCell ref="Q59:S59"/>
    <mergeCell ref="C60:D60"/>
    <mergeCell ref="E60:F60"/>
    <mergeCell ref="M61:N61"/>
    <mergeCell ref="M62:N62"/>
    <mergeCell ref="O62:P62"/>
    <mergeCell ref="Q62:S62"/>
    <mergeCell ref="K6:L6"/>
    <mergeCell ref="M6:N6"/>
    <mergeCell ref="O6:P6"/>
    <mergeCell ref="Q6:R6"/>
    <mergeCell ref="S6:S8"/>
    <mergeCell ref="A4:B4"/>
    <mergeCell ref="A6:A8"/>
    <mergeCell ref="B6:B8"/>
    <mergeCell ref="C6:D6"/>
    <mergeCell ref="E6:F6"/>
    <mergeCell ref="G6:H6"/>
    <mergeCell ref="I6:J6"/>
    <mergeCell ref="E4:L4"/>
    <mergeCell ref="M4:S4"/>
    <mergeCell ref="A1:S1"/>
    <mergeCell ref="A2:S2"/>
    <mergeCell ref="A3:D3"/>
    <mergeCell ref="E3:L3"/>
    <mergeCell ref="M3:S3"/>
    <mergeCell ref="C4:D4"/>
    <mergeCell ref="A5:S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S64"/>
  <sheetViews>
    <sheetView workbookViewId="0">
      <selection activeCell="F11" sqref="F11"/>
    </sheetView>
  </sheetViews>
  <sheetFormatPr defaultColWidth="12.6640625" defaultRowHeight="15.75" customHeight="1"/>
  <cols>
    <col min="1" max="1" width="7.44140625" customWidth="1"/>
    <col min="2" max="2" width="17.21875" customWidth="1"/>
    <col min="3" max="3" width="9" customWidth="1"/>
    <col min="4" max="4" width="8.6640625" customWidth="1"/>
    <col min="5" max="5" width="8" customWidth="1"/>
    <col min="6" max="6" width="8.109375" customWidth="1"/>
    <col min="7" max="7" width="9.21875" customWidth="1"/>
    <col min="8" max="8" width="8.21875" customWidth="1"/>
    <col min="9" max="9" width="9" customWidth="1"/>
    <col min="10" max="10" width="7.77734375" customWidth="1"/>
    <col min="11" max="11" width="9.44140625" customWidth="1"/>
    <col min="12" max="12" width="10.21875" customWidth="1"/>
  </cols>
  <sheetData>
    <row r="1" spans="1:19" ht="15.75" customHeight="1">
      <c r="A1" s="392" t="s">
        <v>87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</row>
    <row r="2" spans="1:19" ht="15.75" customHeight="1">
      <c r="A2" s="392" t="s">
        <v>0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</row>
    <row r="3" spans="1:19" ht="15.75" customHeight="1">
      <c r="A3" s="373" t="s">
        <v>0</v>
      </c>
      <c r="B3" s="366"/>
      <c r="C3" s="366"/>
      <c r="D3" s="366"/>
      <c r="E3" s="374" t="s">
        <v>1</v>
      </c>
      <c r="F3" s="366"/>
      <c r="G3" s="366"/>
      <c r="H3" s="366"/>
      <c r="I3" s="366"/>
      <c r="J3" s="366"/>
      <c r="K3" s="375" t="s">
        <v>654</v>
      </c>
      <c r="L3" s="366"/>
      <c r="M3" s="366"/>
      <c r="N3" s="366"/>
      <c r="O3" s="366"/>
      <c r="P3" s="366"/>
      <c r="Q3" s="366"/>
      <c r="R3" s="366"/>
      <c r="S3" s="366"/>
    </row>
    <row r="4" spans="1:19" ht="15.75" customHeight="1">
      <c r="A4" s="383" t="s">
        <v>141</v>
      </c>
      <c r="B4" s="366"/>
      <c r="C4" s="374" t="s">
        <v>695</v>
      </c>
      <c r="D4" s="366"/>
      <c r="E4" s="374" t="s">
        <v>4</v>
      </c>
      <c r="F4" s="366"/>
      <c r="G4" s="366"/>
      <c r="H4" s="366"/>
      <c r="I4" s="366"/>
      <c r="J4" s="366"/>
      <c r="K4" s="374" t="s">
        <v>5</v>
      </c>
      <c r="L4" s="366"/>
      <c r="M4" s="366"/>
      <c r="N4" s="366"/>
      <c r="O4" s="366"/>
      <c r="P4" s="366"/>
      <c r="Q4" s="366"/>
      <c r="R4" s="366"/>
      <c r="S4" s="366"/>
    </row>
    <row r="5" spans="1:19" ht="15.75" customHeight="1">
      <c r="A5" s="377" t="s">
        <v>696</v>
      </c>
      <c r="B5" s="378"/>
      <c r="C5" s="378"/>
      <c r="D5" s="378"/>
      <c r="E5" s="378"/>
      <c r="F5" s="378"/>
      <c r="G5" s="378"/>
      <c r="H5" s="378"/>
      <c r="I5" s="378"/>
      <c r="J5" s="378"/>
      <c r="K5" s="378"/>
      <c r="L5" s="378"/>
      <c r="M5" s="378"/>
      <c r="N5" s="378"/>
      <c r="O5" s="378"/>
      <c r="P5" s="378"/>
      <c r="Q5" s="378"/>
      <c r="R5" s="378"/>
      <c r="S5" s="378"/>
    </row>
    <row r="6" spans="1:19" ht="15.75" customHeight="1">
      <c r="A6" s="2" t="s">
        <v>7</v>
      </c>
      <c r="B6" s="265" t="s">
        <v>8</v>
      </c>
      <c r="C6" s="379" t="s">
        <v>9</v>
      </c>
      <c r="D6" s="360"/>
      <c r="E6" s="379" t="s">
        <v>10</v>
      </c>
      <c r="F6" s="360"/>
      <c r="G6" s="424" t="s">
        <v>11</v>
      </c>
      <c r="H6" s="425"/>
      <c r="I6" s="423" t="s">
        <v>12</v>
      </c>
      <c r="J6" s="360"/>
      <c r="K6" s="423" t="s">
        <v>13</v>
      </c>
      <c r="L6" s="360"/>
      <c r="M6" s="423" t="s">
        <v>14</v>
      </c>
      <c r="N6" s="360"/>
      <c r="O6" s="423" t="s">
        <v>473</v>
      </c>
      <c r="P6" s="360"/>
      <c r="Q6" s="367" t="s">
        <v>15</v>
      </c>
      <c r="R6" s="362"/>
      <c r="S6" s="3" t="s">
        <v>16</v>
      </c>
    </row>
    <row r="7" spans="1:19" ht="15.75" customHeight="1">
      <c r="A7" s="266"/>
      <c r="B7" s="266"/>
      <c r="C7" s="180" t="s">
        <v>17</v>
      </c>
      <c r="D7" s="181">
        <v>40</v>
      </c>
      <c r="E7" s="4" t="s">
        <v>17</v>
      </c>
      <c r="F7" s="5">
        <v>40</v>
      </c>
      <c r="G7" s="267" t="s">
        <v>17</v>
      </c>
      <c r="H7" s="268">
        <v>40</v>
      </c>
      <c r="I7" s="45" t="s">
        <v>17</v>
      </c>
      <c r="J7" s="268">
        <v>40</v>
      </c>
      <c r="K7" s="45" t="s">
        <v>17</v>
      </c>
      <c r="L7" s="268">
        <v>40</v>
      </c>
      <c r="M7" s="45" t="s">
        <v>17</v>
      </c>
      <c r="N7" s="268">
        <v>40</v>
      </c>
      <c r="O7" s="45" t="s">
        <v>17</v>
      </c>
      <c r="P7" s="268">
        <v>40</v>
      </c>
      <c r="Q7" s="4" t="s">
        <v>17</v>
      </c>
      <c r="R7" s="5">
        <v>600</v>
      </c>
      <c r="S7" s="266"/>
    </row>
    <row r="8" spans="1:19" ht="15.75" customHeight="1">
      <c r="A8" s="18"/>
      <c r="B8" s="18"/>
      <c r="C8" s="205" t="s">
        <v>18</v>
      </c>
      <c r="D8" s="205" t="s">
        <v>19</v>
      </c>
      <c r="E8" s="205" t="s">
        <v>18</v>
      </c>
      <c r="F8" s="205" t="s">
        <v>19</v>
      </c>
      <c r="G8" s="269" t="s">
        <v>18</v>
      </c>
      <c r="H8" s="48" t="s">
        <v>19</v>
      </c>
      <c r="I8" s="48" t="s">
        <v>18</v>
      </c>
      <c r="J8" s="48" t="s">
        <v>19</v>
      </c>
      <c r="K8" s="48" t="s">
        <v>18</v>
      </c>
      <c r="L8" s="48" t="s">
        <v>19</v>
      </c>
      <c r="M8" s="48" t="s">
        <v>18</v>
      </c>
      <c r="N8" s="48" t="s">
        <v>19</v>
      </c>
      <c r="O8" s="48" t="s">
        <v>18</v>
      </c>
      <c r="P8" s="48" t="s">
        <v>19</v>
      </c>
      <c r="Q8" s="205" t="s">
        <v>18</v>
      </c>
      <c r="R8" s="205" t="s">
        <v>19</v>
      </c>
      <c r="S8" s="266"/>
    </row>
    <row r="9" spans="1:19" ht="15.75" customHeight="1">
      <c r="A9" s="182">
        <v>1</v>
      </c>
      <c r="B9" s="270" t="s">
        <v>697</v>
      </c>
      <c r="C9" s="207">
        <v>18</v>
      </c>
      <c r="D9" s="271">
        <f t="shared" ref="D9:D44" si="0">IF(C9="","",IF(C9="AB",AB,IF(C9="TC","TC",(C9/D$7)*100)))</f>
        <v>45</v>
      </c>
      <c r="E9" s="207">
        <v>35</v>
      </c>
      <c r="F9" s="184">
        <f t="shared" ref="F9:F44" si="1">IF(E9="","",IF(E9="AB",AB,IF(E9="TC","TC",(E9/F$7)*100)))</f>
        <v>87.5</v>
      </c>
      <c r="G9" s="185">
        <v>30</v>
      </c>
      <c r="H9" s="184">
        <f t="shared" ref="H9:H45" si="2">IF(G9="","",IF(G9="AB",AB,IF(G9="TC","TC",(G9/H$7)*100)))</f>
        <v>75</v>
      </c>
      <c r="I9" s="78">
        <v>33</v>
      </c>
      <c r="J9" s="184">
        <f t="shared" ref="J9:J45" si="3">IF(I9="","",IF(I9="AB",AB,IF(I9="TC","TC",(I9/J$7)*100)))</f>
        <v>82.5</v>
      </c>
      <c r="K9" s="226">
        <v>37</v>
      </c>
      <c r="L9" s="184">
        <f t="shared" ref="L9:L44" si="4">IF(K9="","",IF(K9="AB",AB,IF(K9="TC","TC",(K9/L$7)*100)))</f>
        <v>92.5</v>
      </c>
      <c r="M9" s="232"/>
      <c r="N9" s="37" t="str">
        <f t="shared" ref="N9:N44" si="5">IF(M9="","",IF(M9="AB",AB,IF(M9="TC","TC",(M9/N$7)*100)))</f>
        <v/>
      </c>
      <c r="O9" s="11">
        <v>25</v>
      </c>
      <c r="P9" s="184">
        <f t="shared" ref="P9:P44" si="6">IF(O9="","",IF(O9="AB",AB,IF(O9="TC","TC",(O9/P$7)*100)))</f>
        <v>62.5</v>
      </c>
      <c r="Q9" s="184">
        <f t="shared" ref="Q9:Q45" si="7">SUM(D9,F9,H9,J9,L9,N9,P9)</f>
        <v>445</v>
      </c>
      <c r="R9" s="189">
        <f t="shared" ref="R9:R45" si="8">IF(Q9="","",IF(Q9="AB","AB",(Q9/R$7)*100))</f>
        <v>74.166666666666671</v>
      </c>
      <c r="S9" s="22"/>
    </row>
    <row r="10" spans="1:19" ht="15.75" customHeight="1">
      <c r="A10" s="182">
        <v>2</v>
      </c>
      <c r="B10" s="272" t="s">
        <v>698</v>
      </c>
      <c r="C10" s="207">
        <v>33</v>
      </c>
      <c r="D10" s="271">
        <f t="shared" si="0"/>
        <v>82.5</v>
      </c>
      <c r="E10" s="207">
        <v>33</v>
      </c>
      <c r="F10" s="184">
        <f t="shared" si="1"/>
        <v>82.5</v>
      </c>
      <c r="G10" s="185">
        <v>34</v>
      </c>
      <c r="H10" s="184">
        <f t="shared" si="2"/>
        <v>85</v>
      </c>
      <c r="I10" s="78">
        <v>33</v>
      </c>
      <c r="J10" s="184">
        <f t="shared" si="3"/>
        <v>82.5</v>
      </c>
      <c r="K10" s="226">
        <v>39</v>
      </c>
      <c r="L10" s="184">
        <f t="shared" si="4"/>
        <v>97.5</v>
      </c>
      <c r="M10" s="232"/>
      <c r="N10" s="37" t="str">
        <f t="shared" si="5"/>
        <v/>
      </c>
      <c r="O10" s="11">
        <v>38</v>
      </c>
      <c r="P10" s="184">
        <f t="shared" si="6"/>
        <v>95</v>
      </c>
      <c r="Q10" s="184">
        <f t="shared" si="7"/>
        <v>525</v>
      </c>
      <c r="R10" s="189">
        <f t="shared" si="8"/>
        <v>87.5</v>
      </c>
      <c r="S10" s="22"/>
    </row>
    <row r="11" spans="1:19" ht="15.75" customHeight="1">
      <c r="A11" s="182">
        <v>3</v>
      </c>
      <c r="B11" s="272" t="s">
        <v>699</v>
      </c>
      <c r="C11" s="207">
        <v>33</v>
      </c>
      <c r="D11" s="271">
        <f t="shared" si="0"/>
        <v>82.5</v>
      </c>
      <c r="E11" s="207" t="s">
        <v>24</v>
      </c>
      <c r="F11" s="185" t="e">
        <f>IF(E11="","",IF(E11="AB",AB,IF(E11="TC","TC",(E11/F$7)*100)))</f>
        <v>#NAME?</v>
      </c>
      <c r="G11" s="185">
        <v>28</v>
      </c>
      <c r="H11" s="184">
        <f t="shared" si="2"/>
        <v>70</v>
      </c>
      <c r="I11" s="78">
        <v>18</v>
      </c>
      <c r="J11" s="184">
        <f t="shared" si="3"/>
        <v>45</v>
      </c>
      <c r="K11" s="226">
        <v>31</v>
      </c>
      <c r="L11" s="184">
        <f t="shared" si="4"/>
        <v>77.5</v>
      </c>
      <c r="M11" s="232"/>
      <c r="N11" s="37" t="str">
        <f t="shared" si="5"/>
        <v/>
      </c>
      <c r="O11" s="11" t="s">
        <v>24</v>
      </c>
      <c r="P11" s="184" t="e">
        <f t="shared" si="6"/>
        <v>#NAME?</v>
      </c>
      <c r="Q11" s="184" t="e">
        <f t="shared" si="7"/>
        <v>#NAME?</v>
      </c>
      <c r="R11" s="189" t="e">
        <f t="shared" si="8"/>
        <v>#NAME?</v>
      </c>
      <c r="S11" s="22"/>
    </row>
    <row r="12" spans="1:19" ht="15.75" customHeight="1">
      <c r="A12" s="182">
        <v>4</v>
      </c>
      <c r="B12" s="272" t="s">
        <v>700</v>
      </c>
      <c r="C12" s="207" t="s">
        <v>24</v>
      </c>
      <c r="D12" s="271" t="e">
        <f t="shared" si="0"/>
        <v>#NAME?</v>
      </c>
      <c r="E12" s="207">
        <v>33</v>
      </c>
      <c r="F12" s="184">
        <f t="shared" si="1"/>
        <v>82.5</v>
      </c>
      <c r="G12" s="185">
        <v>37</v>
      </c>
      <c r="H12" s="184">
        <f t="shared" si="2"/>
        <v>92.5</v>
      </c>
      <c r="I12" s="78">
        <v>39</v>
      </c>
      <c r="J12" s="184">
        <f t="shared" si="3"/>
        <v>97.5</v>
      </c>
      <c r="K12" s="226">
        <v>37</v>
      </c>
      <c r="L12" s="184">
        <f t="shared" si="4"/>
        <v>92.5</v>
      </c>
      <c r="M12" s="232"/>
      <c r="N12" s="37" t="str">
        <f t="shared" si="5"/>
        <v/>
      </c>
      <c r="O12" s="11">
        <v>37</v>
      </c>
      <c r="P12" s="184">
        <f t="shared" si="6"/>
        <v>92.5</v>
      </c>
      <c r="Q12" s="184" t="e">
        <f t="shared" si="7"/>
        <v>#NAME?</v>
      </c>
      <c r="R12" s="189" t="e">
        <f t="shared" si="8"/>
        <v>#NAME?</v>
      </c>
      <c r="S12" s="22"/>
    </row>
    <row r="13" spans="1:19" ht="15.75" customHeight="1">
      <c r="A13" s="182">
        <v>5</v>
      </c>
      <c r="B13" s="272" t="s">
        <v>701</v>
      </c>
      <c r="C13" s="273">
        <v>36</v>
      </c>
      <c r="D13" s="271">
        <f t="shared" si="0"/>
        <v>90</v>
      </c>
      <c r="E13" s="207">
        <v>34</v>
      </c>
      <c r="F13" s="184">
        <f t="shared" si="1"/>
        <v>85</v>
      </c>
      <c r="G13" s="184">
        <v>40</v>
      </c>
      <c r="H13" s="184">
        <f t="shared" si="2"/>
        <v>100</v>
      </c>
      <c r="I13" s="78">
        <v>40</v>
      </c>
      <c r="J13" s="184">
        <f t="shared" si="3"/>
        <v>100</v>
      </c>
      <c r="K13" s="226">
        <v>38</v>
      </c>
      <c r="L13" s="184">
        <f t="shared" si="4"/>
        <v>95</v>
      </c>
      <c r="M13" s="232"/>
      <c r="N13" s="37" t="str">
        <f t="shared" si="5"/>
        <v/>
      </c>
      <c r="O13" s="11">
        <v>35</v>
      </c>
      <c r="P13" s="184">
        <f t="shared" si="6"/>
        <v>87.5</v>
      </c>
      <c r="Q13" s="184">
        <f t="shared" si="7"/>
        <v>557.5</v>
      </c>
      <c r="R13" s="189">
        <f t="shared" si="8"/>
        <v>92.916666666666671</v>
      </c>
      <c r="S13" s="22"/>
    </row>
    <row r="14" spans="1:19" ht="15.75" customHeight="1">
      <c r="A14" s="182">
        <v>6</v>
      </c>
      <c r="B14" s="272" t="s">
        <v>702</v>
      </c>
      <c r="C14" s="207">
        <v>22</v>
      </c>
      <c r="D14" s="271">
        <f t="shared" si="0"/>
        <v>55.000000000000007</v>
      </c>
      <c r="E14" s="207">
        <v>29</v>
      </c>
      <c r="F14" s="184">
        <f t="shared" si="1"/>
        <v>72.5</v>
      </c>
      <c r="G14" s="185">
        <v>19</v>
      </c>
      <c r="H14" s="184">
        <f t="shared" si="2"/>
        <v>47.5</v>
      </c>
      <c r="I14" s="78">
        <v>28</v>
      </c>
      <c r="J14" s="184">
        <f t="shared" si="3"/>
        <v>70</v>
      </c>
      <c r="K14" s="226">
        <v>30</v>
      </c>
      <c r="L14" s="184">
        <f t="shared" si="4"/>
        <v>75</v>
      </c>
      <c r="M14" s="232"/>
      <c r="N14" s="37" t="str">
        <f t="shared" si="5"/>
        <v/>
      </c>
      <c r="O14" s="11">
        <v>30</v>
      </c>
      <c r="P14" s="184">
        <f t="shared" si="6"/>
        <v>75</v>
      </c>
      <c r="Q14" s="184">
        <f t="shared" si="7"/>
        <v>395</v>
      </c>
      <c r="R14" s="189">
        <f t="shared" si="8"/>
        <v>65.833333333333329</v>
      </c>
      <c r="S14" s="22"/>
    </row>
    <row r="15" spans="1:19" ht="15.75" customHeight="1">
      <c r="A15" s="182">
        <v>7</v>
      </c>
      <c r="B15" s="272" t="s">
        <v>703</v>
      </c>
      <c r="C15" s="207">
        <v>39</v>
      </c>
      <c r="D15" s="271">
        <f t="shared" si="0"/>
        <v>97.5</v>
      </c>
      <c r="E15" s="207">
        <v>38</v>
      </c>
      <c r="F15" s="184">
        <f t="shared" si="1"/>
        <v>95</v>
      </c>
      <c r="G15" s="184">
        <v>40</v>
      </c>
      <c r="H15" s="184">
        <f t="shared" si="2"/>
        <v>100</v>
      </c>
      <c r="I15" s="78">
        <v>39</v>
      </c>
      <c r="J15" s="184">
        <f t="shared" si="3"/>
        <v>97.5</v>
      </c>
      <c r="K15" s="207">
        <v>38</v>
      </c>
      <c r="L15" s="184">
        <f t="shared" si="4"/>
        <v>95</v>
      </c>
      <c r="M15" s="232"/>
      <c r="N15" s="37" t="str">
        <f t="shared" si="5"/>
        <v/>
      </c>
      <c r="O15" s="11">
        <v>39</v>
      </c>
      <c r="P15" s="184">
        <f t="shared" si="6"/>
        <v>97.5</v>
      </c>
      <c r="Q15" s="184">
        <f t="shared" si="7"/>
        <v>582.5</v>
      </c>
      <c r="R15" s="189">
        <f t="shared" si="8"/>
        <v>97.083333333333329</v>
      </c>
      <c r="S15" s="22"/>
    </row>
    <row r="16" spans="1:19" ht="15.75" customHeight="1">
      <c r="A16" s="182">
        <v>8</v>
      </c>
      <c r="B16" s="272" t="s">
        <v>704</v>
      </c>
      <c r="C16" s="207">
        <v>21</v>
      </c>
      <c r="D16" s="271">
        <f t="shared" si="0"/>
        <v>52.5</v>
      </c>
      <c r="E16" s="207">
        <v>27</v>
      </c>
      <c r="F16" s="184">
        <f t="shared" si="1"/>
        <v>67.5</v>
      </c>
      <c r="G16" s="185">
        <v>19</v>
      </c>
      <c r="H16" s="184">
        <f t="shared" si="2"/>
        <v>47.5</v>
      </c>
      <c r="I16" s="78">
        <v>24</v>
      </c>
      <c r="J16" s="184">
        <f t="shared" si="3"/>
        <v>60</v>
      </c>
      <c r="K16" s="207">
        <v>20</v>
      </c>
      <c r="L16" s="184">
        <f t="shared" si="4"/>
        <v>50</v>
      </c>
      <c r="M16" s="232"/>
      <c r="N16" s="37" t="str">
        <f t="shared" si="5"/>
        <v/>
      </c>
      <c r="O16" s="11" t="s">
        <v>24</v>
      </c>
      <c r="P16" s="184" t="e">
        <f t="shared" si="6"/>
        <v>#NAME?</v>
      </c>
      <c r="Q16" s="184" t="e">
        <f t="shared" si="7"/>
        <v>#NAME?</v>
      </c>
      <c r="R16" s="189" t="e">
        <f t="shared" si="8"/>
        <v>#NAME?</v>
      </c>
      <c r="S16" s="22"/>
    </row>
    <row r="17" spans="1:19" ht="15.75" customHeight="1">
      <c r="A17" s="182">
        <v>9</v>
      </c>
      <c r="B17" s="272" t="s">
        <v>705</v>
      </c>
      <c r="C17" s="207">
        <v>38</v>
      </c>
      <c r="D17" s="271">
        <f t="shared" si="0"/>
        <v>95</v>
      </c>
      <c r="E17" s="207">
        <v>38</v>
      </c>
      <c r="F17" s="184">
        <f t="shared" si="1"/>
        <v>95</v>
      </c>
      <c r="G17" s="184">
        <v>36</v>
      </c>
      <c r="H17" s="184">
        <f t="shared" si="2"/>
        <v>90</v>
      </c>
      <c r="I17" s="78">
        <v>40</v>
      </c>
      <c r="J17" s="184">
        <f t="shared" si="3"/>
        <v>100</v>
      </c>
      <c r="K17" s="226">
        <v>40</v>
      </c>
      <c r="L17" s="184">
        <f t="shared" si="4"/>
        <v>100</v>
      </c>
      <c r="M17" s="232"/>
      <c r="N17" s="37" t="str">
        <f t="shared" si="5"/>
        <v/>
      </c>
      <c r="O17" s="11">
        <v>36</v>
      </c>
      <c r="P17" s="184">
        <f t="shared" si="6"/>
        <v>90</v>
      </c>
      <c r="Q17" s="184">
        <f t="shared" si="7"/>
        <v>570</v>
      </c>
      <c r="R17" s="189">
        <f t="shared" si="8"/>
        <v>95</v>
      </c>
      <c r="S17" s="22"/>
    </row>
    <row r="18" spans="1:19" ht="15.75" customHeight="1">
      <c r="A18" s="182">
        <v>10</v>
      </c>
      <c r="B18" s="272" t="s">
        <v>706</v>
      </c>
      <c r="C18" s="207">
        <v>23</v>
      </c>
      <c r="D18" s="271">
        <f t="shared" si="0"/>
        <v>57.499999999999993</v>
      </c>
      <c r="E18" s="207">
        <v>29</v>
      </c>
      <c r="F18" s="184">
        <f t="shared" si="1"/>
        <v>72.5</v>
      </c>
      <c r="G18" s="185">
        <v>27</v>
      </c>
      <c r="H18" s="184">
        <f t="shared" si="2"/>
        <v>67.5</v>
      </c>
      <c r="I18" s="78">
        <v>38</v>
      </c>
      <c r="J18" s="184">
        <f t="shared" si="3"/>
        <v>95</v>
      </c>
      <c r="K18" s="226">
        <v>32</v>
      </c>
      <c r="L18" s="184">
        <f t="shared" si="4"/>
        <v>80</v>
      </c>
      <c r="M18" s="232"/>
      <c r="N18" s="37" t="str">
        <f t="shared" si="5"/>
        <v/>
      </c>
      <c r="O18" s="11">
        <v>25</v>
      </c>
      <c r="P18" s="184">
        <f t="shared" si="6"/>
        <v>62.5</v>
      </c>
      <c r="Q18" s="184">
        <f t="shared" si="7"/>
        <v>435</v>
      </c>
      <c r="R18" s="189">
        <f t="shared" si="8"/>
        <v>72.5</v>
      </c>
      <c r="S18" s="22"/>
    </row>
    <row r="19" spans="1:19" ht="15.75" customHeight="1">
      <c r="A19" s="182">
        <v>11</v>
      </c>
      <c r="B19" s="272" t="s">
        <v>707</v>
      </c>
      <c r="C19" s="207">
        <v>33</v>
      </c>
      <c r="D19" s="271">
        <f t="shared" si="0"/>
        <v>82.5</v>
      </c>
      <c r="E19" s="207">
        <v>36</v>
      </c>
      <c r="F19" s="184">
        <f t="shared" si="1"/>
        <v>90</v>
      </c>
      <c r="G19" s="185">
        <v>38</v>
      </c>
      <c r="H19" s="184">
        <f t="shared" si="2"/>
        <v>95</v>
      </c>
      <c r="I19" s="78">
        <v>39</v>
      </c>
      <c r="J19" s="184">
        <f t="shared" si="3"/>
        <v>97.5</v>
      </c>
      <c r="K19" s="226">
        <v>40</v>
      </c>
      <c r="L19" s="184">
        <f t="shared" si="4"/>
        <v>100</v>
      </c>
      <c r="M19" s="232"/>
      <c r="N19" s="37" t="str">
        <f t="shared" si="5"/>
        <v/>
      </c>
      <c r="O19" s="11" t="s">
        <v>24</v>
      </c>
      <c r="P19" s="184" t="e">
        <f t="shared" si="6"/>
        <v>#NAME?</v>
      </c>
      <c r="Q19" s="184" t="e">
        <f t="shared" si="7"/>
        <v>#NAME?</v>
      </c>
      <c r="R19" s="189" t="e">
        <f t="shared" si="8"/>
        <v>#NAME?</v>
      </c>
      <c r="S19" s="22"/>
    </row>
    <row r="20" spans="1:19" ht="15.75" customHeight="1">
      <c r="A20" s="182">
        <v>12</v>
      </c>
      <c r="B20" s="272" t="s">
        <v>708</v>
      </c>
      <c r="C20" s="207">
        <v>35</v>
      </c>
      <c r="D20" s="271">
        <f t="shared" si="0"/>
        <v>87.5</v>
      </c>
      <c r="E20" s="207">
        <v>35</v>
      </c>
      <c r="F20" s="184">
        <f t="shared" si="1"/>
        <v>87.5</v>
      </c>
      <c r="G20" s="184">
        <v>30</v>
      </c>
      <c r="H20" s="184">
        <f t="shared" si="2"/>
        <v>75</v>
      </c>
      <c r="I20" s="78">
        <v>33</v>
      </c>
      <c r="J20" s="184">
        <f t="shared" si="3"/>
        <v>82.5</v>
      </c>
      <c r="K20" s="226">
        <v>31</v>
      </c>
      <c r="L20" s="184">
        <f t="shared" si="4"/>
        <v>77.5</v>
      </c>
      <c r="M20" s="232"/>
      <c r="N20" s="37" t="str">
        <f t="shared" si="5"/>
        <v/>
      </c>
      <c r="O20" s="11">
        <v>28</v>
      </c>
      <c r="P20" s="184">
        <f t="shared" si="6"/>
        <v>70</v>
      </c>
      <c r="Q20" s="184">
        <f t="shared" si="7"/>
        <v>480</v>
      </c>
      <c r="R20" s="189">
        <f t="shared" si="8"/>
        <v>80</v>
      </c>
      <c r="S20" s="22"/>
    </row>
    <row r="21" spans="1:19" ht="15.75" customHeight="1">
      <c r="A21" s="182">
        <v>13</v>
      </c>
      <c r="B21" s="272" t="s">
        <v>709</v>
      </c>
      <c r="C21" s="207">
        <v>20</v>
      </c>
      <c r="D21" s="271">
        <f t="shared" si="0"/>
        <v>50</v>
      </c>
      <c r="E21" s="207">
        <v>21</v>
      </c>
      <c r="F21" s="184">
        <f t="shared" si="1"/>
        <v>52.5</v>
      </c>
      <c r="G21" s="185">
        <v>21</v>
      </c>
      <c r="H21" s="184">
        <f t="shared" si="2"/>
        <v>52.5</v>
      </c>
      <c r="I21" s="78">
        <v>22</v>
      </c>
      <c r="J21" s="184">
        <f t="shared" si="3"/>
        <v>55.000000000000007</v>
      </c>
      <c r="K21" s="226">
        <v>32</v>
      </c>
      <c r="L21" s="184">
        <f t="shared" si="4"/>
        <v>80</v>
      </c>
      <c r="M21" s="232"/>
      <c r="N21" s="37" t="str">
        <f t="shared" si="5"/>
        <v/>
      </c>
      <c r="O21" s="11">
        <v>26</v>
      </c>
      <c r="P21" s="184">
        <f t="shared" si="6"/>
        <v>65</v>
      </c>
      <c r="Q21" s="184">
        <f t="shared" si="7"/>
        <v>355</v>
      </c>
      <c r="R21" s="189">
        <f t="shared" si="8"/>
        <v>59.166666666666664</v>
      </c>
      <c r="S21" s="22"/>
    </row>
    <row r="22" spans="1:19" ht="15.75" customHeight="1">
      <c r="A22" s="182">
        <v>14</v>
      </c>
      <c r="B22" s="272" t="s">
        <v>710</v>
      </c>
      <c r="C22" s="207">
        <v>18</v>
      </c>
      <c r="D22" s="271">
        <f t="shared" si="0"/>
        <v>45</v>
      </c>
      <c r="E22" s="207">
        <v>27</v>
      </c>
      <c r="F22" s="184">
        <f t="shared" si="1"/>
        <v>67.5</v>
      </c>
      <c r="G22" s="184">
        <v>32</v>
      </c>
      <c r="H22" s="184">
        <f t="shared" si="2"/>
        <v>80</v>
      </c>
      <c r="I22" s="78">
        <v>31</v>
      </c>
      <c r="J22" s="184">
        <f t="shared" si="3"/>
        <v>77.5</v>
      </c>
      <c r="K22" s="226">
        <v>33</v>
      </c>
      <c r="L22" s="184">
        <f t="shared" si="4"/>
        <v>82.5</v>
      </c>
      <c r="M22" s="232"/>
      <c r="N22" s="37" t="str">
        <f t="shared" si="5"/>
        <v/>
      </c>
      <c r="O22" s="274">
        <v>27</v>
      </c>
      <c r="P22" s="184">
        <f t="shared" si="6"/>
        <v>67.5</v>
      </c>
      <c r="Q22" s="184">
        <f t="shared" si="7"/>
        <v>420</v>
      </c>
      <c r="R22" s="189">
        <f t="shared" si="8"/>
        <v>70</v>
      </c>
      <c r="S22" s="22"/>
    </row>
    <row r="23" spans="1:19" ht="15.75" customHeight="1">
      <c r="A23" s="182">
        <v>15</v>
      </c>
      <c r="B23" s="272" t="s">
        <v>711</v>
      </c>
      <c r="C23" s="79">
        <v>30</v>
      </c>
      <c r="D23" s="271">
        <f t="shared" si="0"/>
        <v>75</v>
      </c>
      <c r="E23" s="207">
        <v>22</v>
      </c>
      <c r="F23" s="184">
        <f t="shared" si="1"/>
        <v>55.000000000000007</v>
      </c>
      <c r="G23" s="185">
        <v>35</v>
      </c>
      <c r="H23" s="184">
        <f t="shared" si="2"/>
        <v>87.5</v>
      </c>
      <c r="I23" s="78">
        <v>30</v>
      </c>
      <c r="J23" s="184">
        <f t="shared" si="3"/>
        <v>75</v>
      </c>
      <c r="K23" s="226">
        <v>30</v>
      </c>
      <c r="L23" s="184">
        <f t="shared" si="4"/>
        <v>75</v>
      </c>
      <c r="M23" s="232"/>
      <c r="N23" s="37" t="str">
        <f t="shared" si="5"/>
        <v/>
      </c>
      <c r="O23" s="11">
        <v>17</v>
      </c>
      <c r="P23" s="184">
        <f t="shared" si="6"/>
        <v>42.5</v>
      </c>
      <c r="Q23" s="184">
        <f t="shared" si="7"/>
        <v>410</v>
      </c>
      <c r="R23" s="189">
        <f t="shared" si="8"/>
        <v>68.333333333333329</v>
      </c>
      <c r="S23" s="22"/>
    </row>
    <row r="24" spans="1:19" ht="15.75" customHeight="1">
      <c r="A24" s="182">
        <v>16</v>
      </c>
      <c r="B24" s="272" t="s">
        <v>712</v>
      </c>
      <c r="C24" s="207">
        <v>27</v>
      </c>
      <c r="D24" s="271">
        <f t="shared" si="0"/>
        <v>67.5</v>
      </c>
      <c r="E24" s="207">
        <v>29</v>
      </c>
      <c r="F24" s="184">
        <f t="shared" si="1"/>
        <v>72.5</v>
      </c>
      <c r="G24" s="185">
        <v>26</v>
      </c>
      <c r="H24" s="184">
        <f t="shared" si="2"/>
        <v>65</v>
      </c>
      <c r="I24" s="78">
        <v>35</v>
      </c>
      <c r="J24" s="184">
        <f t="shared" si="3"/>
        <v>87.5</v>
      </c>
      <c r="K24" s="226">
        <v>34</v>
      </c>
      <c r="L24" s="184">
        <f t="shared" si="4"/>
        <v>85</v>
      </c>
      <c r="M24" s="232"/>
      <c r="N24" s="37" t="str">
        <f t="shared" si="5"/>
        <v/>
      </c>
      <c r="O24" s="11">
        <v>27</v>
      </c>
      <c r="P24" s="184">
        <f t="shared" si="6"/>
        <v>67.5</v>
      </c>
      <c r="Q24" s="184">
        <f t="shared" si="7"/>
        <v>445</v>
      </c>
      <c r="R24" s="189">
        <f t="shared" si="8"/>
        <v>74.166666666666671</v>
      </c>
      <c r="S24" s="22"/>
    </row>
    <row r="25" spans="1:19" ht="15.75" customHeight="1">
      <c r="A25" s="182">
        <v>17</v>
      </c>
      <c r="B25" s="272" t="s">
        <v>713</v>
      </c>
      <c r="C25" s="207">
        <v>32</v>
      </c>
      <c r="D25" s="271">
        <f t="shared" si="0"/>
        <v>80</v>
      </c>
      <c r="E25" s="207">
        <v>36</v>
      </c>
      <c r="F25" s="184">
        <f t="shared" si="1"/>
        <v>90</v>
      </c>
      <c r="G25" s="184">
        <v>40</v>
      </c>
      <c r="H25" s="184">
        <f t="shared" si="2"/>
        <v>100</v>
      </c>
      <c r="I25" s="78">
        <v>40</v>
      </c>
      <c r="J25" s="184">
        <f t="shared" si="3"/>
        <v>100</v>
      </c>
      <c r="K25" s="207">
        <v>36</v>
      </c>
      <c r="L25" s="184">
        <f t="shared" si="4"/>
        <v>90</v>
      </c>
      <c r="M25" s="232"/>
      <c r="N25" s="37" t="str">
        <f t="shared" si="5"/>
        <v/>
      </c>
      <c r="O25" s="11">
        <v>32</v>
      </c>
      <c r="P25" s="184">
        <f t="shared" si="6"/>
        <v>80</v>
      </c>
      <c r="Q25" s="184">
        <f t="shared" si="7"/>
        <v>540</v>
      </c>
      <c r="R25" s="189">
        <f t="shared" si="8"/>
        <v>90</v>
      </c>
      <c r="S25" s="22"/>
    </row>
    <row r="26" spans="1:19" ht="15.75" customHeight="1">
      <c r="A26" s="182">
        <v>18</v>
      </c>
      <c r="B26" s="272" t="s">
        <v>714</v>
      </c>
      <c r="C26" s="207">
        <v>25</v>
      </c>
      <c r="D26" s="271">
        <f t="shared" si="0"/>
        <v>62.5</v>
      </c>
      <c r="E26" s="207">
        <v>18</v>
      </c>
      <c r="F26" s="184">
        <f t="shared" si="1"/>
        <v>45</v>
      </c>
      <c r="G26" s="185">
        <v>29</v>
      </c>
      <c r="H26" s="184">
        <f t="shared" si="2"/>
        <v>72.5</v>
      </c>
      <c r="I26" s="78">
        <v>30</v>
      </c>
      <c r="J26" s="184">
        <f t="shared" si="3"/>
        <v>75</v>
      </c>
      <c r="K26" s="207">
        <v>32</v>
      </c>
      <c r="L26" s="184">
        <f t="shared" si="4"/>
        <v>80</v>
      </c>
      <c r="M26" s="232"/>
      <c r="N26" s="37" t="str">
        <f t="shared" si="5"/>
        <v/>
      </c>
      <c r="O26" s="11">
        <v>24</v>
      </c>
      <c r="P26" s="184">
        <f t="shared" si="6"/>
        <v>60</v>
      </c>
      <c r="Q26" s="184">
        <f t="shared" si="7"/>
        <v>395</v>
      </c>
      <c r="R26" s="189">
        <f t="shared" si="8"/>
        <v>65.833333333333329</v>
      </c>
      <c r="S26" s="22"/>
    </row>
    <row r="27" spans="1:19" ht="14.4">
      <c r="A27" s="182">
        <v>19</v>
      </c>
      <c r="B27" s="272" t="s">
        <v>715</v>
      </c>
      <c r="C27" s="275">
        <v>38</v>
      </c>
      <c r="D27" s="271">
        <f t="shared" si="0"/>
        <v>95</v>
      </c>
      <c r="E27" s="207">
        <v>31</v>
      </c>
      <c r="F27" s="184">
        <f t="shared" si="1"/>
        <v>77.5</v>
      </c>
      <c r="G27" s="184">
        <v>40</v>
      </c>
      <c r="H27" s="184">
        <f t="shared" si="2"/>
        <v>100</v>
      </c>
      <c r="I27" s="78">
        <v>37</v>
      </c>
      <c r="J27" s="184">
        <f t="shared" si="3"/>
        <v>92.5</v>
      </c>
      <c r="K27" s="226">
        <v>37</v>
      </c>
      <c r="L27" s="184">
        <f t="shared" si="4"/>
        <v>92.5</v>
      </c>
      <c r="M27" s="232"/>
      <c r="N27" s="37" t="str">
        <f t="shared" si="5"/>
        <v/>
      </c>
      <c r="O27" s="11">
        <v>39</v>
      </c>
      <c r="P27" s="184">
        <f t="shared" si="6"/>
        <v>97.5</v>
      </c>
      <c r="Q27" s="184">
        <f t="shared" si="7"/>
        <v>555</v>
      </c>
      <c r="R27" s="189">
        <f t="shared" si="8"/>
        <v>92.5</v>
      </c>
      <c r="S27" s="22"/>
    </row>
    <row r="28" spans="1:19" ht="14.4">
      <c r="A28" s="182">
        <v>20</v>
      </c>
      <c r="B28" s="272" t="s">
        <v>716</v>
      </c>
      <c r="C28" s="207">
        <v>38</v>
      </c>
      <c r="D28" s="271">
        <f t="shared" si="0"/>
        <v>95</v>
      </c>
      <c r="E28" s="207">
        <v>36</v>
      </c>
      <c r="F28" s="184">
        <f t="shared" si="1"/>
        <v>90</v>
      </c>
      <c r="G28" s="184">
        <v>37</v>
      </c>
      <c r="H28" s="184">
        <f t="shared" si="2"/>
        <v>92.5</v>
      </c>
      <c r="I28" s="78">
        <v>39</v>
      </c>
      <c r="J28" s="184">
        <f t="shared" si="3"/>
        <v>97.5</v>
      </c>
      <c r="K28" s="226">
        <v>40</v>
      </c>
      <c r="L28" s="184">
        <f t="shared" si="4"/>
        <v>100</v>
      </c>
      <c r="M28" s="232"/>
      <c r="N28" s="37" t="str">
        <f t="shared" si="5"/>
        <v/>
      </c>
      <c r="O28" s="11">
        <v>39</v>
      </c>
      <c r="P28" s="184">
        <f t="shared" si="6"/>
        <v>97.5</v>
      </c>
      <c r="Q28" s="184">
        <f t="shared" si="7"/>
        <v>572.5</v>
      </c>
      <c r="R28" s="189">
        <f t="shared" si="8"/>
        <v>95.416666666666671</v>
      </c>
      <c r="S28" s="22"/>
    </row>
    <row r="29" spans="1:19" ht="14.4">
      <c r="A29" s="182">
        <v>21</v>
      </c>
      <c r="B29" s="272" t="s">
        <v>717</v>
      </c>
      <c r="C29" s="207">
        <v>24</v>
      </c>
      <c r="D29" s="271">
        <f t="shared" si="0"/>
        <v>60</v>
      </c>
      <c r="E29" s="207">
        <v>23</v>
      </c>
      <c r="F29" s="184">
        <f t="shared" si="1"/>
        <v>57.499999999999993</v>
      </c>
      <c r="G29" s="185">
        <v>18</v>
      </c>
      <c r="H29" s="184">
        <f t="shared" si="2"/>
        <v>45</v>
      </c>
      <c r="I29" s="78">
        <v>19</v>
      </c>
      <c r="J29" s="184">
        <f t="shared" si="3"/>
        <v>47.5</v>
      </c>
      <c r="K29" s="207">
        <v>40</v>
      </c>
      <c r="L29" s="184">
        <f t="shared" si="4"/>
        <v>100</v>
      </c>
      <c r="M29" s="232"/>
      <c r="N29" s="37" t="str">
        <f t="shared" si="5"/>
        <v/>
      </c>
      <c r="O29" s="11">
        <v>29</v>
      </c>
      <c r="P29" s="184">
        <f t="shared" si="6"/>
        <v>72.5</v>
      </c>
      <c r="Q29" s="184">
        <f t="shared" si="7"/>
        <v>382.5</v>
      </c>
      <c r="R29" s="189">
        <f t="shared" si="8"/>
        <v>63.749999999999993</v>
      </c>
      <c r="S29" s="22"/>
    </row>
    <row r="30" spans="1:19" ht="14.4">
      <c r="A30" s="182">
        <v>22</v>
      </c>
      <c r="B30" s="272" t="s">
        <v>718</v>
      </c>
      <c r="C30" s="207">
        <v>36</v>
      </c>
      <c r="D30" s="271">
        <f t="shared" si="0"/>
        <v>90</v>
      </c>
      <c r="E30" s="207">
        <v>29</v>
      </c>
      <c r="F30" s="184">
        <f t="shared" si="1"/>
        <v>72.5</v>
      </c>
      <c r="G30" s="185">
        <v>22</v>
      </c>
      <c r="H30" s="184">
        <f t="shared" si="2"/>
        <v>55.000000000000007</v>
      </c>
      <c r="I30" s="78">
        <v>27</v>
      </c>
      <c r="J30" s="184">
        <f t="shared" si="3"/>
        <v>67.5</v>
      </c>
      <c r="K30" s="226">
        <v>29</v>
      </c>
      <c r="L30" s="184">
        <f t="shared" si="4"/>
        <v>72.5</v>
      </c>
      <c r="M30" s="232"/>
      <c r="N30" s="37" t="str">
        <f t="shared" si="5"/>
        <v/>
      </c>
      <c r="O30" s="11">
        <v>18</v>
      </c>
      <c r="P30" s="184">
        <f t="shared" si="6"/>
        <v>45</v>
      </c>
      <c r="Q30" s="184">
        <f t="shared" si="7"/>
        <v>402.5</v>
      </c>
      <c r="R30" s="189">
        <f t="shared" si="8"/>
        <v>67.083333333333329</v>
      </c>
      <c r="S30" s="22"/>
    </row>
    <row r="31" spans="1:19" ht="14.4">
      <c r="A31" s="182">
        <v>23</v>
      </c>
      <c r="B31" s="272" t="s">
        <v>719</v>
      </c>
      <c r="C31" s="207">
        <v>24</v>
      </c>
      <c r="D31" s="271">
        <f t="shared" si="0"/>
        <v>60</v>
      </c>
      <c r="E31" s="207">
        <v>18</v>
      </c>
      <c r="F31" s="184">
        <f t="shared" si="1"/>
        <v>45</v>
      </c>
      <c r="G31" s="185">
        <v>33</v>
      </c>
      <c r="H31" s="184">
        <f t="shared" si="2"/>
        <v>82.5</v>
      </c>
      <c r="I31" s="78">
        <v>34</v>
      </c>
      <c r="J31" s="184">
        <f t="shared" si="3"/>
        <v>85</v>
      </c>
      <c r="K31" s="207">
        <v>33</v>
      </c>
      <c r="L31" s="184">
        <f t="shared" si="4"/>
        <v>82.5</v>
      </c>
      <c r="M31" s="232"/>
      <c r="N31" s="37" t="str">
        <f t="shared" si="5"/>
        <v/>
      </c>
      <c r="O31" s="11">
        <v>20</v>
      </c>
      <c r="P31" s="184">
        <f t="shared" si="6"/>
        <v>50</v>
      </c>
      <c r="Q31" s="184">
        <f t="shared" si="7"/>
        <v>405</v>
      </c>
      <c r="R31" s="189">
        <f t="shared" si="8"/>
        <v>67.5</v>
      </c>
      <c r="S31" s="22"/>
    </row>
    <row r="32" spans="1:19" ht="14.4">
      <c r="A32" s="182">
        <v>24</v>
      </c>
      <c r="B32" s="272" t="s">
        <v>720</v>
      </c>
      <c r="C32" s="207">
        <v>28</v>
      </c>
      <c r="D32" s="271">
        <f t="shared" si="0"/>
        <v>70</v>
      </c>
      <c r="E32" s="207">
        <v>20</v>
      </c>
      <c r="F32" s="184">
        <f t="shared" si="1"/>
        <v>50</v>
      </c>
      <c r="G32" s="185">
        <v>32</v>
      </c>
      <c r="H32" s="184">
        <f t="shared" si="2"/>
        <v>80</v>
      </c>
      <c r="I32" s="78">
        <v>34</v>
      </c>
      <c r="J32" s="184">
        <f t="shared" si="3"/>
        <v>85</v>
      </c>
      <c r="K32" s="226">
        <v>35</v>
      </c>
      <c r="L32" s="184">
        <f t="shared" si="4"/>
        <v>87.5</v>
      </c>
      <c r="M32" s="232"/>
      <c r="N32" s="37" t="str">
        <f t="shared" si="5"/>
        <v/>
      </c>
      <c r="O32" s="11">
        <v>21</v>
      </c>
      <c r="P32" s="184">
        <f t="shared" si="6"/>
        <v>52.5</v>
      </c>
      <c r="Q32" s="184">
        <f t="shared" si="7"/>
        <v>425</v>
      </c>
      <c r="R32" s="189">
        <f t="shared" si="8"/>
        <v>70.833333333333343</v>
      </c>
      <c r="S32" s="22"/>
    </row>
    <row r="33" spans="1:19" ht="14.4">
      <c r="A33" s="182">
        <v>25</v>
      </c>
      <c r="B33" s="272" t="s">
        <v>721</v>
      </c>
      <c r="C33" s="273">
        <v>28</v>
      </c>
      <c r="D33" s="271">
        <f t="shared" si="0"/>
        <v>70</v>
      </c>
      <c r="E33" s="207">
        <v>26</v>
      </c>
      <c r="F33" s="184">
        <f t="shared" si="1"/>
        <v>65</v>
      </c>
      <c r="G33" s="185">
        <v>34</v>
      </c>
      <c r="H33" s="184">
        <f t="shared" si="2"/>
        <v>85</v>
      </c>
      <c r="I33" s="78">
        <v>39</v>
      </c>
      <c r="J33" s="184">
        <f t="shared" si="3"/>
        <v>97.5</v>
      </c>
      <c r="K33" s="207">
        <v>40</v>
      </c>
      <c r="L33" s="184">
        <f t="shared" si="4"/>
        <v>100</v>
      </c>
      <c r="M33" s="232"/>
      <c r="N33" s="37" t="str">
        <f t="shared" si="5"/>
        <v/>
      </c>
      <c r="O33" s="11">
        <v>33</v>
      </c>
      <c r="P33" s="184">
        <f t="shared" si="6"/>
        <v>82.5</v>
      </c>
      <c r="Q33" s="184">
        <f t="shared" si="7"/>
        <v>500</v>
      </c>
      <c r="R33" s="189">
        <f t="shared" si="8"/>
        <v>83.333333333333343</v>
      </c>
      <c r="S33" s="22"/>
    </row>
    <row r="34" spans="1:19" ht="14.4">
      <c r="A34" s="182">
        <v>26</v>
      </c>
      <c r="B34" s="272" t="s">
        <v>722</v>
      </c>
      <c r="C34" s="207">
        <v>38</v>
      </c>
      <c r="D34" s="271">
        <f t="shared" si="0"/>
        <v>95</v>
      </c>
      <c r="E34" s="207">
        <v>36</v>
      </c>
      <c r="F34" s="184">
        <f t="shared" si="1"/>
        <v>90</v>
      </c>
      <c r="G34" s="185">
        <v>29</v>
      </c>
      <c r="H34" s="184">
        <f t="shared" si="2"/>
        <v>72.5</v>
      </c>
      <c r="I34" s="78">
        <v>38</v>
      </c>
      <c r="J34" s="184">
        <f t="shared" si="3"/>
        <v>95</v>
      </c>
      <c r="K34" s="226">
        <v>36</v>
      </c>
      <c r="L34" s="184">
        <f t="shared" si="4"/>
        <v>90</v>
      </c>
      <c r="M34" s="232"/>
      <c r="N34" s="37" t="str">
        <f t="shared" si="5"/>
        <v/>
      </c>
      <c r="O34" s="11">
        <v>23</v>
      </c>
      <c r="P34" s="184">
        <f t="shared" si="6"/>
        <v>57.499999999999993</v>
      </c>
      <c r="Q34" s="184">
        <f t="shared" si="7"/>
        <v>500</v>
      </c>
      <c r="R34" s="189">
        <f t="shared" si="8"/>
        <v>83.333333333333343</v>
      </c>
      <c r="S34" s="22"/>
    </row>
    <row r="35" spans="1:19" ht="14.4">
      <c r="A35" s="182">
        <v>27</v>
      </c>
      <c r="B35" s="272" t="s">
        <v>723</v>
      </c>
      <c r="C35" s="207" t="s">
        <v>24</v>
      </c>
      <c r="D35" s="271" t="e">
        <f t="shared" si="0"/>
        <v>#NAME?</v>
      </c>
      <c r="E35" s="207">
        <v>17</v>
      </c>
      <c r="F35" s="184">
        <f t="shared" si="1"/>
        <v>42.5</v>
      </c>
      <c r="G35" s="185"/>
      <c r="H35" s="184" t="str">
        <f t="shared" si="2"/>
        <v/>
      </c>
      <c r="I35" s="78">
        <v>19</v>
      </c>
      <c r="J35" s="184">
        <f t="shared" si="3"/>
        <v>47.5</v>
      </c>
      <c r="K35" s="207">
        <v>20</v>
      </c>
      <c r="L35" s="184">
        <f t="shared" si="4"/>
        <v>50</v>
      </c>
      <c r="M35" s="232"/>
      <c r="N35" s="37" t="str">
        <f t="shared" si="5"/>
        <v/>
      </c>
      <c r="O35" s="11" t="s">
        <v>24</v>
      </c>
      <c r="P35" s="184" t="e">
        <f t="shared" si="6"/>
        <v>#NAME?</v>
      </c>
      <c r="Q35" s="184" t="e">
        <f t="shared" si="7"/>
        <v>#NAME?</v>
      </c>
      <c r="R35" s="189" t="e">
        <f t="shared" si="8"/>
        <v>#NAME?</v>
      </c>
      <c r="S35" s="22"/>
    </row>
    <row r="36" spans="1:19" ht="14.4">
      <c r="A36" s="182">
        <v>28</v>
      </c>
      <c r="B36" s="272" t="s">
        <v>724</v>
      </c>
      <c r="C36" s="207">
        <v>25</v>
      </c>
      <c r="D36" s="271">
        <f t="shared" si="0"/>
        <v>62.5</v>
      </c>
      <c r="E36" s="225"/>
      <c r="F36" s="37" t="str">
        <f t="shared" si="1"/>
        <v/>
      </c>
      <c r="G36" s="185">
        <v>25</v>
      </c>
      <c r="H36" s="184">
        <f t="shared" si="2"/>
        <v>62.5</v>
      </c>
      <c r="I36" s="78">
        <v>14</v>
      </c>
      <c r="J36" s="184">
        <f t="shared" si="3"/>
        <v>35</v>
      </c>
      <c r="K36" s="207">
        <v>24</v>
      </c>
      <c r="L36" s="184">
        <f t="shared" si="4"/>
        <v>60</v>
      </c>
      <c r="M36" s="226">
        <v>28</v>
      </c>
      <c r="N36" s="184">
        <f t="shared" si="5"/>
        <v>70</v>
      </c>
      <c r="O36" s="11">
        <v>24</v>
      </c>
      <c r="P36" s="184">
        <f t="shared" si="6"/>
        <v>60</v>
      </c>
      <c r="Q36" s="184">
        <f t="shared" si="7"/>
        <v>350</v>
      </c>
      <c r="R36" s="189">
        <f t="shared" si="8"/>
        <v>58.333333333333336</v>
      </c>
      <c r="S36" s="22"/>
    </row>
    <row r="37" spans="1:19" ht="14.4">
      <c r="A37" s="182">
        <v>29</v>
      </c>
      <c r="B37" s="272" t="s">
        <v>725</v>
      </c>
      <c r="C37" s="207">
        <v>23</v>
      </c>
      <c r="D37" s="271">
        <f t="shared" si="0"/>
        <v>57.499999999999993</v>
      </c>
      <c r="E37" s="225"/>
      <c r="F37" s="37" t="str">
        <f t="shared" si="1"/>
        <v/>
      </c>
      <c r="G37" s="185">
        <v>21</v>
      </c>
      <c r="H37" s="184">
        <f t="shared" si="2"/>
        <v>52.5</v>
      </c>
      <c r="I37" s="78">
        <v>27</v>
      </c>
      <c r="J37" s="184">
        <f t="shared" si="3"/>
        <v>67.5</v>
      </c>
      <c r="K37" s="207">
        <v>30</v>
      </c>
      <c r="L37" s="184">
        <f t="shared" si="4"/>
        <v>75</v>
      </c>
      <c r="M37" s="226">
        <v>34</v>
      </c>
      <c r="N37" s="184">
        <f t="shared" si="5"/>
        <v>85</v>
      </c>
      <c r="O37" s="11">
        <v>23</v>
      </c>
      <c r="P37" s="184">
        <f t="shared" si="6"/>
        <v>57.499999999999993</v>
      </c>
      <c r="Q37" s="184">
        <f t="shared" si="7"/>
        <v>395</v>
      </c>
      <c r="R37" s="189">
        <f t="shared" si="8"/>
        <v>65.833333333333329</v>
      </c>
      <c r="S37" s="22"/>
    </row>
    <row r="38" spans="1:19" ht="14.4">
      <c r="A38" s="182">
        <v>30</v>
      </c>
      <c r="B38" s="272" t="s">
        <v>726</v>
      </c>
      <c r="C38" s="207">
        <v>25</v>
      </c>
      <c r="D38" s="271">
        <f t="shared" si="0"/>
        <v>62.5</v>
      </c>
      <c r="E38" s="225"/>
      <c r="F38" s="37" t="str">
        <f t="shared" si="1"/>
        <v/>
      </c>
      <c r="G38" s="185">
        <v>27</v>
      </c>
      <c r="H38" s="184">
        <f t="shared" si="2"/>
        <v>67.5</v>
      </c>
      <c r="I38" s="78">
        <v>28</v>
      </c>
      <c r="J38" s="184">
        <f t="shared" si="3"/>
        <v>70</v>
      </c>
      <c r="K38" s="207">
        <v>35</v>
      </c>
      <c r="L38" s="184">
        <f t="shared" si="4"/>
        <v>87.5</v>
      </c>
      <c r="M38" s="226">
        <v>30</v>
      </c>
      <c r="N38" s="184">
        <f t="shared" si="5"/>
        <v>75</v>
      </c>
      <c r="O38" s="11">
        <v>21</v>
      </c>
      <c r="P38" s="184">
        <f t="shared" si="6"/>
        <v>52.5</v>
      </c>
      <c r="Q38" s="184">
        <f t="shared" si="7"/>
        <v>415</v>
      </c>
      <c r="R38" s="189">
        <f t="shared" si="8"/>
        <v>69.166666666666671</v>
      </c>
      <c r="S38" s="22"/>
    </row>
    <row r="39" spans="1:19" ht="14.4">
      <c r="A39" s="182">
        <v>31</v>
      </c>
      <c r="B39" s="272" t="s">
        <v>727</v>
      </c>
      <c r="C39" s="207">
        <v>27</v>
      </c>
      <c r="D39" s="271">
        <f t="shared" si="0"/>
        <v>67.5</v>
      </c>
      <c r="E39" s="225"/>
      <c r="F39" s="37" t="str">
        <f t="shared" si="1"/>
        <v/>
      </c>
      <c r="G39" s="185">
        <v>18</v>
      </c>
      <c r="H39" s="184">
        <f t="shared" si="2"/>
        <v>45</v>
      </c>
      <c r="I39" s="78">
        <v>31</v>
      </c>
      <c r="J39" s="184">
        <f t="shared" si="3"/>
        <v>77.5</v>
      </c>
      <c r="K39" s="207" t="s">
        <v>24</v>
      </c>
      <c r="L39" s="184" t="e">
        <f t="shared" si="4"/>
        <v>#NAME?</v>
      </c>
      <c r="M39" s="226">
        <v>39</v>
      </c>
      <c r="N39" s="184">
        <f t="shared" si="5"/>
        <v>97.5</v>
      </c>
      <c r="O39" s="11">
        <v>21</v>
      </c>
      <c r="P39" s="184">
        <f t="shared" si="6"/>
        <v>52.5</v>
      </c>
      <c r="Q39" s="184" t="e">
        <f t="shared" si="7"/>
        <v>#NAME?</v>
      </c>
      <c r="R39" s="189" t="e">
        <f t="shared" si="8"/>
        <v>#NAME?</v>
      </c>
      <c r="S39" s="22"/>
    </row>
    <row r="40" spans="1:19" ht="14.4">
      <c r="A40" s="182">
        <v>32</v>
      </c>
      <c r="B40" s="272" t="s">
        <v>728</v>
      </c>
      <c r="C40" s="207">
        <v>16</v>
      </c>
      <c r="D40" s="271">
        <f t="shared" si="0"/>
        <v>40</v>
      </c>
      <c r="E40" s="225"/>
      <c r="F40" s="37" t="str">
        <f t="shared" si="1"/>
        <v/>
      </c>
      <c r="G40" s="185">
        <v>13</v>
      </c>
      <c r="H40" s="185">
        <f t="shared" si="2"/>
        <v>32.5</v>
      </c>
      <c r="I40" s="78">
        <v>11</v>
      </c>
      <c r="J40" s="184">
        <f t="shared" si="3"/>
        <v>27.500000000000004</v>
      </c>
      <c r="K40" s="207">
        <v>25</v>
      </c>
      <c r="L40" s="185">
        <f t="shared" si="4"/>
        <v>62.5</v>
      </c>
      <c r="M40" s="226">
        <v>32</v>
      </c>
      <c r="N40" s="184">
        <f t="shared" si="5"/>
        <v>80</v>
      </c>
      <c r="O40" s="274"/>
      <c r="P40" s="184" t="str">
        <f t="shared" si="6"/>
        <v/>
      </c>
      <c r="Q40" s="184">
        <f t="shared" si="7"/>
        <v>242.5</v>
      </c>
      <c r="R40" s="229">
        <f t="shared" si="8"/>
        <v>40.416666666666664</v>
      </c>
      <c r="S40" s="22"/>
    </row>
    <row r="41" spans="1:19" ht="14.4">
      <c r="A41" s="182">
        <v>33</v>
      </c>
      <c r="B41" s="272" t="s">
        <v>729</v>
      </c>
      <c r="C41" s="207">
        <v>34</v>
      </c>
      <c r="D41" s="271">
        <f t="shared" si="0"/>
        <v>85</v>
      </c>
      <c r="E41" s="225"/>
      <c r="F41" s="37" t="str">
        <f t="shared" si="1"/>
        <v/>
      </c>
      <c r="G41" s="184">
        <v>9</v>
      </c>
      <c r="H41" s="184">
        <f t="shared" si="2"/>
        <v>22.5</v>
      </c>
      <c r="I41" s="78">
        <v>22</v>
      </c>
      <c r="J41" s="184">
        <f t="shared" si="3"/>
        <v>55.000000000000007</v>
      </c>
      <c r="K41" s="207">
        <v>38</v>
      </c>
      <c r="L41" s="184">
        <f t="shared" si="4"/>
        <v>95</v>
      </c>
      <c r="M41" s="226">
        <v>33</v>
      </c>
      <c r="N41" s="184">
        <f t="shared" si="5"/>
        <v>82.5</v>
      </c>
      <c r="O41" s="11">
        <v>22</v>
      </c>
      <c r="P41" s="184">
        <f t="shared" si="6"/>
        <v>55.000000000000007</v>
      </c>
      <c r="Q41" s="184">
        <f t="shared" si="7"/>
        <v>395</v>
      </c>
      <c r="R41" s="189">
        <f t="shared" si="8"/>
        <v>65.833333333333329</v>
      </c>
      <c r="S41" s="22"/>
    </row>
    <row r="42" spans="1:19" ht="14.4">
      <c r="A42" s="182">
        <v>34</v>
      </c>
      <c r="B42" s="272" t="s">
        <v>730</v>
      </c>
      <c r="C42" s="207">
        <v>25</v>
      </c>
      <c r="D42" s="271">
        <f t="shared" si="0"/>
        <v>62.5</v>
      </c>
      <c r="E42" s="225"/>
      <c r="F42" s="37" t="str">
        <f t="shared" si="1"/>
        <v/>
      </c>
      <c r="G42" s="185">
        <v>9</v>
      </c>
      <c r="H42" s="185">
        <f t="shared" si="2"/>
        <v>22.5</v>
      </c>
      <c r="I42" s="78">
        <v>18</v>
      </c>
      <c r="J42" s="184">
        <f t="shared" si="3"/>
        <v>45</v>
      </c>
      <c r="K42" s="207">
        <v>29</v>
      </c>
      <c r="L42" s="184">
        <f t="shared" si="4"/>
        <v>72.5</v>
      </c>
      <c r="M42" s="226">
        <v>37</v>
      </c>
      <c r="N42" s="184">
        <f t="shared" si="5"/>
        <v>92.5</v>
      </c>
      <c r="O42" s="11">
        <v>10</v>
      </c>
      <c r="P42" s="184">
        <f t="shared" si="6"/>
        <v>25</v>
      </c>
      <c r="Q42" s="184">
        <f t="shared" si="7"/>
        <v>320</v>
      </c>
      <c r="R42" s="229">
        <f t="shared" si="8"/>
        <v>53.333333333333336</v>
      </c>
      <c r="S42" s="22"/>
    </row>
    <row r="43" spans="1:19" ht="14.4">
      <c r="A43" s="182">
        <v>35</v>
      </c>
      <c r="B43" s="272" t="s">
        <v>731</v>
      </c>
      <c r="C43" s="273">
        <v>20</v>
      </c>
      <c r="D43" s="271">
        <f t="shared" si="0"/>
        <v>50</v>
      </c>
      <c r="E43" s="225"/>
      <c r="F43" s="37" t="str">
        <f t="shared" si="1"/>
        <v/>
      </c>
      <c r="G43" s="185">
        <v>11</v>
      </c>
      <c r="H43" s="184">
        <f t="shared" si="2"/>
        <v>27.500000000000004</v>
      </c>
      <c r="I43" s="78">
        <v>19</v>
      </c>
      <c r="J43" s="184">
        <f t="shared" si="3"/>
        <v>47.5</v>
      </c>
      <c r="K43" s="207">
        <v>21</v>
      </c>
      <c r="L43" s="185">
        <f t="shared" si="4"/>
        <v>52.5</v>
      </c>
      <c r="M43" s="226">
        <v>14</v>
      </c>
      <c r="N43" s="184">
        <f t="shared" si="5"/>
        <v>35</v>
      </c>
      <c r="O43" s="11" t="s">
        <v>24</v>
      </c>
      <c r="P43" s="184" t="e">
        <f t="shared" si="6"/>
        <v>#NAME?</v>
      </c>
      <c r="Q43" s="184" t="e">
        <f t="shared" si="7"/>
        <v>#NAME?</v>
      </c>
      <c r="R43" s="189" t="e">
        <f t="shared" si="8"/>
        <v>#NAME?</v>
      </c>
      <c r="S43" s="22"/>
    </row>
    <row r="44" spans="1:19" ht="14.4">
      <c r="A44" s="182">
        <v>36</v>
      </c>
      <c r="B44" s="272" t="s">
        <v>732</v>
      </c>
      <c r="C44" s="207">
        <v>27</v>
      </c>
      <c r="D44" s="271">
        <f t="shared" si="0"/>
        <v>67.5</v>
      </c>
      <c r="E44" s="225"/>
      <c r="F44" s="37" t="str">
        <f t="shared" si="1"/>
        <v/>
      </c>
      <c r="G44" s="184">
        <v>37</v>
      </c>
      <c r="H44" s="184">
        <f t="shared" si="2"/>
        <v>92.5</v>
      </c>
      <c r="I44" s="78">
        <v>40</v>
      </c>
      <c r="J44" s="184">
        <f t="shared" si="3"/>
        <v>100</v>
      </c>
      <c r="K44" s="207">
        <v>40</v>
      </c>
      <c r="L44" s="184">
        <f t="shared" si="4"/>
        <v>100</v>
      </c>
      <c r="M44" s="226">
        <v>39</v>
      </c>
      <c r="N44" s="184">
        <f t="shared" si="5"/>
        <v>97.5</v>
      </c>
      <c r="O44" s="274">
        <v>29</v>
      </c>
      <c r="P44" s="184">
        <f t="shared" si="6"/>
        <v>72.5</v>
      </c>
      <c r="Q44" s="184">
        <f t="shared" si="7"/>
        <v>530</v>
      </c>
      <c r="R44" s="189">
        <f t="shared" si="8"/>
        <v>88.333333333333329</v>
      </c>
      <c r="S44" s="22"/>
    </row>
    <row r="45" spans="1:19" ht="14.4">
      <c r="A45" s="182">
        <v>37</v>
      </c>
      <c r="B45" s="105"/>
      <c r="C45" s="225"/>
      <c r="D45" s="232"/>
      <c r="E45" s="225"/>
      <c r="F45" s="37"/>
      <c r="G45" s="225"/>
      <c r="H45" s="37" t="str">
        <f t="shared" si="2"/>
        <v/>
      </c>
      <c r="I45" s="22"/>
      <c r="J45" s="37" t="str">
        <f t="shared" si="3"/>
        <v/>
      </c>
      <c r="K45" s="225"/>
      <c r="L45" s="37"/>
      <c r="M45" s="232"/>
      <c r="N45" s="37"/>
      <c r="O45" s="37"/>
      <c r="P45" s="37"/>
      <c r="Q45" s="184">
        <f t="shared" si="7"/>
        <v>0</v>
      </c>
      <c r="R45" s="189">
        <f t="shared" si="8"/>
        <v>0</v>
      </c>
      <c r="S45" s="22"/>
    </row>
    <row r="46" spans="1:19" ht="17.399999999999999">
      <c r="A46" s="361" t="s">
        <v>70</v>
      </c>
      <c r="B46" s="362"/>
      <c r="C46" s="39"/>
      <c r="D46" s="37"/>
      <c r="E46" s="39"/>
      <c r="F46" s="39"/>
      <c r="G46" s="234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</row>
    <row r="47" spans="1:19" ht="27">
      <c r="A47" s="387" t="s">
        <v>71</v>
      </c>
      <c r="B47" s="276" t="s">
        <v>72</v>
      </c>
      <c r="C47" s="359">
        <f>COUNTA(C9:C45)</f>
        <v>36</v>
      </c>
      <c r="D47" s="360"/>
      <c r="E47" s="359">
        <f>COUNTA(E9:E45)</f>
        <v>27</v>
      </c>
      <c r="F47" s="360"/>
      <c r="G47" s="430">
        <f>COUNTA(G9:G45)</f>
        <v>35</v>
      </c>
      <c r="H47" s="425"/>
      <c r="I47" s="359">
        <f>COUNTA(I9:I45)</f>
        <v>36</v>
      </c>
      <c r="J47" s="360"/>
      <c r="K47" s="359">
        <f>COUNTA(K9:K45)</f>
        <v>36</v>
      </c>
      <c r="L47" s="360"/>
      <c r="M47" s="359">
        <f>COUNTA(M9:M45)</f>
        <v>9</v>
      </c>
      <c r="N47" s="360"/>
      <c r="O47" s="359">
        <f>COUNTA(O9:O45)</f>
        <v>35</v>
      </c>
      <c r="P47" s="360"/>
      <c r="Q47" s="359" t="s">
        <v>15</v>
      </c>
      <c r="R47" s="378"/>
      <c r="S47" s="360"/>
    </row>
    <row r="48" spans="1:19" ht="17.399999999999999">
      <c r="A48" s="381"/>
      <c r="B48" s="4" t="s">
        <v>73</v>
      </c>
      <c r="C48" s="361">
        <f>C47-C49</f>
        <v>2</v>
      </c>
      <c r="D48" s="362"/>
      <c r="E48" s="361">
        <f>E47-E49</f>
        <v>1</v>
      </c>
      <c r="F48" s="362"/>
      <c r="G48" s="426">
        <f>G47-G49</f>
        <v>0</v>
      </c>
      <c r="H48" s="362"/>
      <c r="I48" s="361">
        <f>I47-I49</f>
        <v>0</v>
      </c>
      <c r="J48" s="362"/>
      <c r="K48" s="361">
        <f>K47-K49</f>
        <v>1</v>
      </c>
      <c r="L48" s="362"/>
      <c r="M48" s="361">
        <f>M47-M49</f>
        <v>0</v>
      </c>
      <c r="N48" s="362"/>
      <c r="O48" s="361">
        <f>O47-O49</f>
        <v>5</v>
      </c>
      <c r="P48" s="362"/>
      <c r="Q48" s="361">
        <f>COUNTIF(T9:T45,0)</f>
        <v>0</v>
      </c>
      <c r="R48" s="364"/>
      <c r="S48" s="362"/>
    </row>
    <row r="49" spans="1:19" ht="17.399999999999999">
      <c r="A49" s="381"/>
      <c r="B49" s="149" t="s">
        <v>74</v>
      </c>
      <c r="C49" s="361">
        <f>COUNTIFS(D9:D45,"&gt;0")</f>
        <v>34</v>
      </c>
      <c r="D49" s="362"/>
      <c r="E49" s="361">
        <f>COUNTIFS(F9:F45,"&gt;0")</f>
        <v>26</v>
      </c>
      <c r="F49" s="362"/>
      <c r="G49" s="426">
        <f>COUNTIFS(H9:H45,"&gt;0")</f>
        <v>35</v>
      </c>
      <c r="H49" s="362"/>
      <c r="I49" s="361">
        <f>COUNTIFS(J9:J45,"&gt;0")</f>
        <v>36</v>
      </c>
      <c r="J49" s="362"/>
      <c r="K49" s="361">
        <f>COUNTIFS(L9:L45,"&gt;0")</f>
        <v>35</v>
      </c>
      <c r="L49" s="362"/>
      <c r="M49" s="361">
        <f>COUNTIFS(N9:N45,"&gt;0")</f>
        <v>9</v>
      </c>
      <c r="N49" s="362"/>
      <c r="O49" s="361">
        <f>COUNTIFS(P9:P45,"&gt;0")</f>
        <v>30</v>
      </c>
      <c r="P49" s="362"/>
      <c r="Q49" s="361">
        <f>COUNTIFS(R9:R45,"&gt;0")</f>
        <v>29</v>
      </c>
      <c r="R49" s="364"/>
      <c r="S49" s="362"/>
    </row>
    <row r="50" spans="1:19" ht="17.399999999999999">
      <c r="A50" s="381"/>
      <c r="B50" s="149" t="s">
        <v>75</v>
      </c>
      <c r="C50" s="361">
        <f>C49-C52</f>
        <v>34</v>
      </c>
      <c r="D50" s="362"/>
      <c r="E50" s="361">
        <f>E49-E52</f>
        <v>26</v>
      </c>
      <c r="F50" s="362"/>
      <c r="G50" s="426">
        <f>G49-G52</f>
        <v>32</v>
      </c>
      <c r="H50" s="362"/>
      <c r="I50" s="361">
        <f>I49-I52</f>
        <v>35</v>
      </c>
      <c r="J50" s="362"/>
      <c r="K50" s="361">
        <f>K49-K52</f>
        <v>35</v>
      </c>
      <c r="L50" s="362"/>
      <c r="M50" s="361">
        <f>M49-M52</f>
        <v>9</v>
      </c>
      <c r="N50" s="362"/>
      <c r="O50" s="361">
        <f>O49-O52</f>
        <v>29</v>
      </c>
      <c r="P50" s="362"/>
      <c r="Q50" s="372"/>
      <c r="R50" s="364"/>
      <c r="S50" s="362"/>
    </row>
    <row r="51" spans="1:19" ht="17.399999999999999">
      <c r="A51" s="381"/>
      <c r="B51" s="149" t="s">
        <v>76</v>
      </c>
      <c r="C51" s="363">
        <f>IF(C49=0,"",(C50/C49)*100)</f>
        <v>100</v>
      </c>
      <c r="D51" s="362"/>
      <c r="E51" s="363">
        <f>IF(E49=0,"",(E50/E49)*100)</f>
        <v>100</v>
      </c>
      <c r="F51" s="362"/>
      <c r="G51" s="431">
        <f>IF(G49=0,"",(G50/G49)*100)</f>
        <v>91.428571428571431</v>
      </c>
      <c r="H51" s="362"/>
      <c r="I51" s="363">
        <f>IF(I49=0,"",(I50/I49)*100)</f>
        <v>97.222222222222214</v>
      </c>
      <c r="J51" s="362"/>
      <c r="K51" s="363">
        <f>IF(K49=0,"",(K50/K49)*100)</f>
        <v>100</v>
      </c>
      <c r="L51" s="362"/>
      <c r="M51" s="363">
        <f>IF(M49=0,"",(M50/M49)*100)</f>
        <v>100</v>
      </c>
      <c r="N51" s="362"/>
      <c r="O51" s="363">
        <f>IF(O49=0,"",(O50/O49)*100)</f>
        <v>96.666666666666671</v>
      </c>
      <c r="P51" s="362"/>
      <c r="Q51" s="363">
        <f>IF(Q49=0,"",(Q50/Q49)*100)</f>
        <v>0</v>
      </c>
      <c r="R51" s="364"/>
      <c r="S51" s="362"/>
    </row>
    <row r="52" spans="1:19" ht="17.399999999999999">
      <c r="A52" s="381"/>
      <c r="B52" s="149" t="s">
        <v>77</v>
      </c>
      <c r="C52" s="361">
        <f>COUNTIFS(D9:D45,"&lt;=32",D9:D45,"&gt; 0")</f>
        <v>0</v>
      </c>
      <c r="D52" s="362"/>
      <c r="E52" s="361">
        <f>COUNTIFS(F9:F45,"&lt;=32",F9:F45,"&gt; 0")</f>
        <v>0</v>
      </c>
      <c r="F52" s="362"/>
      <c r="G52" s="426">
        <f>COUNTIFS(H9:H45,"&lt;=32",H9:H45,"&gt; 0")</f>
        <v>3</v>
      </c>
      <c r="H52" s="362"/>
      <c r="I52" s="361">
        <f>COUNTIFS(J9:J45,"&lt;=32",J9:J45,"&gt; 0")</f>
        <v>1</v>
      </c>
      <c r="J52" s="362"/>
      <c r="K52" s="361">
        <f>COUNTIFS(L9:L45,"&lt;=32",L9:L45,"&gt; 0")</f>
        <v>0</v>
      </c>
      <c r="L52" s="362"/>
      <c r="M52" s="361">
        <f>COUNTIFS(N9:N45,"&lt;=32",N9:N45,"&gt; 0")</f>
        <v>0</v>
      </c>
      <c r="N52" s="362"/>
      <c r="O52" s="361">
        <f>COUNTIFS(P9:P45,"&lt;=32",P9:P45,"&gt; 0")</f>
        <v>1</v>
      </c>
      <c r="P52" s="362"/>
      <c r="Q52" s="361">
        <f>COUNTIFS(R9:R45,"&lt;=32",R9:R45,"&gt; 0")</f>
        <v>0</v>
      </c>
      <c r="R52" s="364"/>
      <c r="S52" s="362"/>
    </row>
    <row r="53" spans="1:19" ht="17.399999999999999">
      <c r="A53" s="381"/>
      <c r="B53" s="149" t="s">
        <v>78</v>
      </c>
      <c r="C53" s="361">
        <f>COUNTIFS(D9:D45,"&gt;=32.1",D9:D45,"&lt;=44")</f>
        <v>1</v>
      </c>
      <c r="D53" s="362"/>
      <c r="E53" s="361">
        <f>COUNTIFS(F9:F45,"&gt;=32.1",F9:F45,"&lt;=44")</f>
        <v>1</v>
      </c>
      <c r="F53" s="362"/>
      <c r="G53" s="426">
        <f>COUNTIFS(H9:H45,"&gt;=32.1",H9:H45,"&lt;=44")</f>
        <v>1</v>
      </c>
      <c r="H53" s="362"/>
      <c r="I53" s="361">
        <f>COUNTIFS(J9:J45,"&gt;=32.1",J9:J45,"&lt;=44")</f>
        <v>1</v>
      </c>
      <c r="J53" s="362"/>
      <c r="K53" s="361">
        <f>COUNTIFS(L9:L45,"&gt;=32.1",L9:L45,"&lt;=44")</f>
        <v>0</v>
      </c>
      <c r="L53" s="362"/>
      <c r="M53" s="361">
        <f>COUNTIFS(N9:N45,"&gt;=32.1",N9:N45,"&lt;=44")</f>
        <v>1</v>
      </c>
      <c r="N53" s="362"/>
      <c r="O53" s="361">
        <f>COUNTIFS(P9:P45,"&gt;=32.1",P9:P45,"&lt;=44")</f>
        <v>1</v>
      </c>
      <c r="P53" s="362"/>
      <c r="Q53" s="361">
        <f>COUNTIFS(R9:R45,"&gt;=32.1",R9:R45,"&lt;=44")</f>
        <v>1</v>
      </c>
      <c r="R53" s="364"/>
      <c r="S53" s="362"/>
    </row>
    <row r="54" spans="1:19" ht="17.399999999999999">
      <c r="A54" s="381"/>
      <c r="B54" s="149" t="s">
        <v>79</v>
      </c>
      <c r="C54" s="361">
        <f>COUNTIFS(D9:D45,"&gt;=44.1",D9:D45,"&lt;=59")</f>
        <v>8</v>
      </c>
      <c r="D54" s="362"/>
      <c r="E54" s="361">
        <f>COUNTIFS(F9:F45,"&gt;=44.1",F9:F45,"&lt;=59")</f>
        <v>6</v>
      </c>
      <c r="F54" s="362"/>
      <c r="G54" s="426">
        <f>COUNTIFS(H9:H45,"&gt;=44.1",H9:H45,"&lt;=59")</f>
        <v>7</v>
      </c>
      <c r="H54" s="362"/>
      <c r="I54" s="361">
        <f>COUNTIFS(J9:J45,"&gt;=44.1",J9:J45,"&lt;=59")</f>
        <v>7</v>
      </c>
      <c r="J54" s="362"/>
      <c r="K54" s="361">
        <f>COUNTIFS(L9:L45,"&gt;=44.1",L9:L45,"&lt;=59")</f>
        <v>3</v>
      </c>
      <c r="L54" s="362"/>
      <c r="M54" s="361">
        <f>COUNTIFS(N9:N45,"&gt;=44.1",N9:N45,"&lt;=59")</f>
        <v>0</v>
      </c>
      <c r="N54" s="362"/>
      <c r="O54" s="361">
        <f>COUNTIFS(P9:P45,"&gt;=44.1",P9:P45,"&lt;=59")</f>
        <v>8</v>
      </c>
      <c r="P54" s="362"/>
      <c r="Q54" s="361">
        <f>COUNTIFS(R9:R45,"&gt;=44.1",R9:R45,"&lt;=59")</f>
        <v>2</v>
      </c>
      <c r="R54" s="364"/>
      <c r="S54" s="362"/>
    </row>
    <row r="55" spans="1:19" ht="17.399999999999999">
      <c r="A55" s="381"/>
      <c r="B55" s="149" t="s">
        <v>80</v>
      </c>
      <c r="C55" s="361">
        <f>COUNTIFS(D9:D45,"&gt;=59.1",D9:D45,"&lt;=74")</f>
        <v>11</v>
      </c>
      <c r="D55" s="362"/>
      <c r="E55" s="361">
        <f>COUNTIFS(F9:F45,"&gt;=59.1",F9:F45,"&lt;=74")</f>
        <v>7</v>
      </c>
      <c r="F55" s="362"/>
      <c r="G55" s="426">
        <f>COUNTIFS(H9:H45,"&gt;=59.1",H9:H45,"&lt;=74")</f>
        <v>7</v>
      </c>
      <c r="H55" s="362"/>
      <c r="I55" s="361">
        <f>COUNTIFS(J9:J45,"&gt;=59.1",J9:J45,"&lt;=74")</f>
        <v>5</v>
      </c>
      <c r="J55" s="362"/>
      <c r="K55" s="361">
        <f>COUNTIFS(L9:L45,"&gt;=59.1",L9:L45,"&lt;=74")</f>
        <v>4</v>
      </c>
      <c r="L55" s="362"/>
      <c r="M55" s="361">
        <f>COUNTIFS(N9:N45,"&gt;=59.1",N9:N45,"&lt;=74")</f>
        <v>1</v>
      </c>
      <c r="N55" s="362"/>
      <c r="O55" s="361">
        <f>COUNTIFS(P9:P45,"&gt;=59.1",P9:P45,"&lt;=74")</f>
        <v>10</v>
      </c>
      <c r="P55" s="362"/>
      <c r="Q55" s="361">
        <f>COUNTIFS(R9:R45,"&gt;=59.1",R9:R45,"&lt;=74")</f>
        <v>13</v>
      </c>
      <c r="R55" s="364"/>
      <c r="S55" s="362"/>
    </row>
    <row r="56" spans="1:19" ht="17.399999999999999">
      <c r="A56" s="381"/>
      <c r="B56" s="149" t="s">
        <v>81</v>
      </c>
      <c r="C56" s="361">
        <f>COUNTIFS(D9:D45,"&gt;=74.1",D9:D45,"&lt;89")</f>
        <v>7</v>
      </c>
      <c r="D56" s="362"/>
      <c r="E56" s="361">
        <f>COUNTIFS(F9:F45,"&gt;=74.1",F9:F45,"&lt;89")</f>
        <v>6</v>
      </c>
      <c r="F56" s="362"/>
      <c r="G56" s="426">
        <f>COUNTIFS(H9:H45,"&gt;=74.1",H9:H45,"&lt;89")</f>
        <v>8</v>
      </c>
      <c r="H56" s="362"/>
      <c r="I56" s="361">
        <f>COUNTIFS(J9:J45,"&gt;=74.1",J9:J45,"&lt;89")</f>
        <v>10</v>
      </c>
      <c r="J56" s="362"/>
      <c r="K56" s="361">
        <f>COUNTIFS(L9:L45,"&gt;=74.1",L9:L45,"&lt;89")</f>
        <v>13</v>
      </c>
      <c r="L56" s="362"/>
      <c r="M56" s="361">
        <f>COUNTIFS(N9:N45,"&gt;=74.1",N9:N45,"&lt;89")</f>
        <v>4</v>
      </c>
      <c r="N56" s="362"/>
      <c r="O56" s="361">
        <f>COUNTIFS(P9:P45,"&gt;=74.1",P9:P45,"&lt;89")</f>
        <v>4</v>
      </c>
      <c r="P56" s="362"/>
      <c r="Q56" s="361">
        <f>COUNTIFS(R9:R45,"&gt;=74.1",R9:R45,"&lt;89")</f>
        <v>7</v>
      </c>
      <c r="R56" s="364"/>
      <c r="S56" s="362"/>
    </row>
    <row r="57" spans="1:19" ht="17.399999999999999">
      <c r="A57" s="382"/>
      <c r="B57" s="277" t="s">
        <v>82</v>
      </c>
      <c r="C57" s="370">
        <f>COUNTIF(D9:D45,"&gt;=89.1")</f>
        <v>7</v>
      </c>
      <c r="D57" s="371"/>
      <c r="E57" s="370">
        <f>COUNTIF(F9:F45,"&gt;=89.1")</f>
        <v>6</v>
      </c>
      <c r="F57" s="371"/>
      <c r="G57" s="427">
        <f>COUNTIF(H9:H45,"&gt;=89.1")</f>
        <v>9</v>
      </c>
      <c r="H57" s="428"/>
      <c r="I57" s="370">
        <f>COUNTIF(J9:J45,"&gt;=89.1")</f>
        <v>12</v>
      </c>
      <c r="J57" s="371"/>
      <c r="K57" s="370">
        <f>COUNTIF(L9:L45,"&gt;=89.1")</f>
        <v>15</v>
      </c>
      <c r="L57" s="371"/>
      <c r="M57" s="370">
        <f>COUNTIF(N9:N45,"&gt;=89.1")</f>
        <v>3</v>
      </c>
      <c r="N57" s="371"/>
      <c r="O57" s="370">
        <f>COUNTIF(P9:P45,"&gt;=89.1")</f>
        <v>6</v>
      </c>
      <c r="P57" s="371"/>
      <c r="Q57" s="361">
        <f>COUNTIF(R9:R45,"&gt;=89.1")</f>
        <v>6</v>
      </c>
      <c r="R57" s="364"/>
      <c r="S57" s="362"/>
    </row>
    <row r="58" spans="1:19" ht="14.4">
      <c r="A58" s="367" t="s">
        <v>83</v>
      </c>
      <c r="B58" s="364"/>
      <c r="C58" s="403" t="s">
        <v>381</v>
      </c>
      <c r="D58" s="362"/>
      <c r="E58" s="372"/>
      <c r="F58" s="362"/>
      <c r="G58" s="429"/>
      <c r="H58" s="362"/>
      <c r="I58" s="372"/>
      <c r="J58" s="362"/>
      <c r="K58" s="372"/>
      <c r="L58" s="362"/>
      <c r="M58" s="372"/>
      <c r="N58" s="362"/>
      <c r="O58" s="372"/>
      <c r="P58" s="362"/>
      <c r="Q58" s="367" t="s">
        <v>84</v>
      </c>
      <c r="R58" s="364"/>
      <c r="S58" s="206">
        <f>IF(Q49=0,"",Q48/Q49*100)</f>
        <v>0</v>
      </c>
    </row>
    <row r="59" spans="1:19" ht="17.399999999999999">
      <c r="A59" s="389" t="s">
        <v>85</v>
      </c>
      <c r="B59" s="369"/>
      <c r="C59" s="390"/>
      <c r="D59" s="369"/>
      <c r="E59" s="369"/>
      <c r="F59" s="369"/>
      <c r="G59" s="369"/>
      <c r="H59" s="369"/>
      <c r="I59" s="369"/>
      <c r="J59" s="369"/>
      <c r="K59" s="369"/>
      <c r="L59" s="369"/>
      <c r="M59" s="368" t="s">
        <v>86</v>
      </c>
      <c r="N59" s="369"/>
      <c r="O59" s="369"/>
      <c r="P59" s="369"/>
      <c r="Q59" s="369"/>
      <c r="R59" s="369"/>
      <c r="S59" s="369"/>
    </row>
    <row r="64" spans="1:19" ht="13.2">
      <c r="H64" s="278">
        <v>35</v>
      </c>
    </row>
  </sheetData>
  <mergeCells count="120"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A46:B46"/>
    <mergeCell ref="A47:A57"/>
    <mergeCell ref="E47:F47"/>
    <mergeCell ref="G47:H47"/>
    <mergeCell ref="I47:J47"/>
    <mergeCell ref="K47:L47"/>
    <mergeCell ref="K48:L48"/>
    <mergeCell ref="K50:L50"/>
    <mergeCell ref="C51:D51"/>
    <mergeCell ref="E51:F51"/>
    <mergeCell ref="G51:H51"/>
    <mergeCell ref="I51:J51"/>
    <mergeCell ref="K51:L51"/>
    <mergeCell ref="K52:L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I57:J57"/>
    <mergeCell ref="K57:L57"/>
    <mergeCell ref="A58:B58"/>
    <mergeCell ref="C58:D58"/>
    <mergeCell ref="E58:F58"/>
    <mergeCell ref="G58:H58"/>
    <mergeCell ref="I58:J58"/>
    <mergeCell ref="K58:L58"/>
    <mergeCell ref="A59:B59"/>
    <mergeCell ref="C59:L59"/>
    <mergeCell ref="M59:S59"/>
    <mergeCell ref="C47:D47"/>
    <mergeCell ref="C49:D49"/>
    <mergeCell ref="E49:F49"/>
    <mergeCell ref="G49:H49"/>
    <mergeCell ref="I49:J49"/>
    <mergeCell ref="K49:L49"/>
    <mergeCell ref="C50:D50"/>
    <mergeCell ref="E50:F50"/>
    <mergeCell ref="G50:H50"/>
    <mergeCell ref="I50:J50"/>
    <mergeCell ref="C52:D52"/>
    <mergeCell ref="E52:F52"/>
    <mergeCell ref="G52:H52"/>
    <mergeCell ref="I52:J52"/>
    <mergeCell ref="M52:N52"/>
    <mergeCell ref="O52:P52"/>
    <mergeCell ref="Q52:S52"/>
    <mergeCell ref="O53:P53"/>
    <mergeCell ref="Q53:S53"/>
    <mergeCell ref="K56:L56"/>
    <mergeCell ref="C57:D57"/>
    <mergeCell ref="E57:F57"/>
    <mergeCell ref="G57:H57"/>
    <mergeCell ref="M53:N53"/>
    <mergeCell ref="M54:N54"/>
    <mergeCell ref="O54:P54"/>
    <mergeCell ref="Q54:S54"/>
    <mergeCell ref="M55:N55"/>
    <mergeCell ref="O55:P55"/>
    <mergeCell ref="Q55:S55"/>
    <mergeCell ref="O58:P58"/>
    <mergeCell ref="Q58:R58"/>
    <mergeCell ref="M56:N56"/>
    <mergeCell ref="O56:P56"/>
    <mergeCell ref="Q56:S56"/>
    <mergeCell ref="M57:N57"/>
    <mergeCell ref="O57:P57"/>
    <mergeCell ref="Q57:S57"/>
    <mergeCell ref="M58:N58"/>
    <mergeCell ref="M51:N51"/>
    <mergeCell ref="O51:P51"/>
    <mergeCell ref="Q51:S51"/>
    <mergeCell ref="G48:H48"/>
    <mergeCell ref="I48:J48"/>
    <mergeCell ref="M48:N48"/>
    <mergeCell ref="O48:P48"/>
    <mergeCell ref="Q48:S48"/>
    <mergeCell ref="O49:P49"/>
    <mergeCell ref="Q49:S49"/>
    <mergeCell ref="M47:N47"/>
    <mergeCell ref="O47:P47"/>
    <mergeCell ref="Q47:S47"/>
    <mergeCell ref="C48:D48"/>
    <mergeCell ref="E48:F48"/>
    <mergeCell ref="M49:N49"/>
    <mergeCell ref="M50:N50"/>
    <mergeCell ref="O50:P50"/>
    <mergeCell ref="Q50:S50"/>
    <mergeCell ref="O6:P6"/>
    <mergeCell ref="Q6:R6"/>
    <mergeCell ref="C4:D4"/>
    <mergeCell ref="C6:D6"/>
    <mergeCell ref="E6:F6"/>
    <mergeCell ref="G6:H6"/>
    <mergeCell ref="I6:J6"/>
    <mergeCell ref="K6:L6"/>
    <mergeCell ref="M6:N6"/>
    <mergeCell ref="E4:J4"/>
    <mergeCell ref="K4:S4"/>
    <mergeCell ref="A1:S1"/>
    <mergeCell ref="A2:S2"/>
    <mergeCell ref="A3:D3"/>
    <mergeCell ref="E3:J3"/>
    <mergeCell ref="K3:S3"/>
    <mergeCell ref="A4:B4"/>
    <mergeCell ref="A5:S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T1000"/>
  <sheetViews>
    <sheetView workbookViewId="0"/>
  </sheetViews>
  <sheetFormatPr defaultColWidth="12.6640625" defaultRowHeight="15.75" customHeight="1"/>
  <cols>
    <col min="2" max="2" width="21.44140625" customWidth="1"/>
    <col min="3" max="3" width="7.88671875" customWidth="1"/>
    <col min="4" max="4" width="8.6640625" customWidth="1"/>
    <col min="5" max="5" width="9" customWidth="1"/>
    <col min="6" max="6" width="8.44140625" customWidth="1"/>
    <col min="7" max="7" width="9" customWidth="1"/>
    <col min="8" max="8" width="8.77734375" customWidth="1"/>
    <col min="9" max="9" width="9.109375" customWidth="1"/>
    <col min="10" max="10" width="9.6640625" customWidth="1"/>
    <col min="11" max="11" width="9.109375" customWidth="1"/>
    <col min="12" max="12" width="9.88671875" customWidth="1"/>
    <col min="13" max="13" width="9.109375" customWidth="1"/>
    <col min="14" max="14" width="9.77734375" customWidth="1"/>
    <col min="15" max="15" width="9.44140625" customWidth="1"/>
    <col min="16" max="16" width="7.6640625" customWidth="1"/>
  </cols>
  <sheetData>
    <row r="1" spans="1:20" ht="15.75" customHeight="1">
      <c r="A1" s="392" t="s">
        <v>87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1"/>
      <c r="T1" s="1"/>
    </row>
    <row r="2" spans="1:20" ht="15.75" customHeight="1">
      <c r="A2" s="439" t="s">
        <v>733</v>
      </c>
      <c r="B2" s="364"/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2"/>
      <c r="S2" s="1"/>
      <c r="T2" s="1"/>
    </row>
    <row r="3" spans="1:20" ht="15.75" customHeight="1">
      <c r="A3" s="440" t="s">
        <v>734</v>
      </c>
      <c r="B3" s="362"/>
      <c r="C3" s="279" t="s">
        <v>735</v>
      </c>
      <c r="D3" s="280" t="s">
        <v>736</v>
      </c>
      <c r="E3" s="440" t="s">
        <v>1</v>
      </c>
      <c r="F3" s="364"/>
      <c r="G3" s="364"/>
      <c r="H3" s="364"/>
      <c r="I3" s="375" t="s">
        <v>737</v>
      </c>
      <c r="J3" s="366"/>
      <c r="K3" s="366"/>
      <c r="L3" s="374" t="s">
        <v>5</v>
      </c>
      <c r="M3" s="366"/>
      <c r="N3" s="366"/>
      <c r="O3" s="366"/>
      <c r="P3" s="366"/>
      <c r="Q3" s="366"/>
      <c r="R3" s="366"/>
      <c r="S3" s="366"/>
      <c r="T3" s="366"/>
    </row>
    <row r="4" spans="1:20" ht="15.75" customHeight="1">
      <c r="A4" s="441" t="s">
        <v>7</v>
      </c>
      <c r="B4" s="445" t="s">
        <v>8</v>
      </c>
      <c r="C4" s="437" t="s">
        <v>9</v>
      </c>
      <c r="D4" s="362"/>
      <c r="E4" s="437" t="s">
        <v>738</v>
      </c>
      <c r="F4" s="362"/>
      <c r="G4" s="437" t="s">
        <v>739</v>
      </c>
      <c r="H4" s="362"/>
      <c r="I4" s="437" t="s">
        <v>740</v>
      </c>
      <c r="J4" s="362"/>
      <c r="K4" s="437" t="s">
        <v>741</v>
      </c>
      <c r="L4" s="362"/>
      <c r="M4" s="437" t="s">
        <v>11</v>
      </c>
      <c r="N4" s="362"/>
      <c r="O4" s="437" t="s">
        <v>742</v>
      </c>
      <c r="P4" s="362"/>
      <c r="Q4" s="442" t="s">
        <v>15</v>
      </c>
      <c r="R4" s="362"/>
    </row>
    <row r="5" spans="1:20" ht="15.75" customHeight="1">
      <c r="A5" s="381"/>
      <c r="B5" s="381"/>
      <c r="C5" s="281" t="s">
        <v>17</v>
      </c>
      <c r="D5" s="282">
        <v>40</v>
      </c>
      <c r="E5" s="281" t="s">
        <v>17</v>
      </c>
      <c r="F5" s="282">
        <v>40</v>
      </c>
      <c r="G5" s="281" t="s">
        <v>17</v>
      </c>
      <c r="H5" s="282">
        <v>40</v>
      </c>
      <c r="I5" s="281" t="s">
        <v>17</v>
      </c>
      <c r="J5" s="283">
        <v>40</v>
      </c>
      <c r="K5" s="281" t="s">
        <v>17</v>
      </c>
      <c r="L5" s="282">
        <v>40</v>
      </c>
      <c r="M5" s="281" t="s">
        <v>17</v>
      </c>
      <c r="N5" s="282">
        <v>40</v>
      </c>
      <c r="O5" s="281" t="s">
        <v>17</v>
      </c>
      <c r="P5" s="282">
        <v>35</v>
      </c>
      <c r="Q5" s="284" t="s">
        <v>17</v>
      </c>
      <c r="R5" s="285">
        <v>500</v>
      </c>
    </row>
    <row r="6" spans="1:20" ht="15.75" customHeight="1">
      <c r="A6" s="382"/>
      <c r="B6" s="382"/>
      <c r="C6" s="286" t="s">
        <v>18</v>
      </c>
      <c r="D6" s="287" t="s">
        <v>19</v>
      </c>
      <c r="E6" s="286" t="s">
        <v>18</v>
      </c>
      <c r="F6" s="287" t="s">
        <v>19</v>
      </c>
      <c r="G6" s="286" t="s">
        <v>18</v>
      </c>
      <c r="H6" s="287" t="s">
        <v>19</v>
      </c>
      <c r="I6" s="286" t="s">
        <v>18</v>
      </c>
      <c r="J6" s="287" t="s">
        <v>19</v>
      </c>
      <c r="K6" s="286" t="s">
        <v>18</v>
      </c>
      <c r="L6" s="287" t="s">
        <v>19</v>
      </c>
      <c r="M6" s="286" t="s">
        <v>18</v>
      </c>
      <c r="N6" s="287" t="s">
        <v>743</v>
      </c>
      <c r="O6" s="288" t="s">
        <v>18</v>
      </c>
      <c r="P6" s="287" t="s">
        <v>19</v>
      </c>
      <c r="Q6" s="289" t="s">
        <v>18</v>
      </c>
      <c r="R6" s="290" t="s">
        <v>19</v>
      </c>
    </row>
    <row r="7" spans="1:20" ht="15.75" customHeight="1">
      <c r="A7" s="291">
        <v>1</v>
      </c>
      <c r="B7" s="292" t="s">
        <v>744</v>
      </c>
      <c r="C7" s="293">
        <v>17</v>
      </c>
      <c r="D7" s="294">
        <f t="shared" ref="D7:D33" si="0">IF($B7="","",IF(C7=""," ",IF(C7="AB","AB",(C7/$D$5)*100)))</f>
        <v>42.5</v>
      </c>
      <c r="E7" s="295">
        <v>3</v>
      </c>
      <c r="F7" s="294">
        <f t="shared" ref="F7:F32" si="1">IF($B7="","",IF(E7=""," ",IF(E7="AB","AB",(E7/$F$5)*100)))</f>
        <v>7.5</v>
      </c>
      <c r="G7" s="295">
        <v>11</v>
      </c>
      <c r="H7" s="294">
        <f>IF($B7="","",IF(G7=""," ",IF(G7="AB","AB",(G7/$F$5)*100)))</f>
        <v>27.500000000000004</v>
      </c>
      <c r="I7" s="296">
        <v>9</v>
      </c>
      <c r="J7" s="294">
        <f t="shared" ref="J7:J38" si="2">IF($B7="","",IF(I7=""," ",IF(I7="AB","AB",(I7/$J$5)*100)))</f>
        <v>22.5</v>
      </c>
      <c r="K7" s="22"/>
      <c r="L7" s="294" t="str">
        <f t="shared" ref="L7:L38" si="3">IF($B7="","",IF(K7=""," ",IF(K7="AB","AB",(K7/$L$5)*100)))</f>
        <v xml:space="preserve"> </v>
      </c>
      <c r="M7" s="22"/>
      <c r="N7" s="294" t="str">
        <f t="shared" ref="N7:N32" si="4">IF($B7="","",IF(M7=""," ",IF(M7="AB","AB",(M7/$N$5)*100)))</f>
        <v xml:space="preserve"> </v>
      </c>
      <c r="O7" s="297">
        <v>9</v>
      </c>
      <c r="P7" s="294">
        <f t="shared" ref="P7:P38" si="5">IF($B7="","",IF(O7=""," ",IF(O7="AB","AB",(O7/$P$5)*100)))</f>
        <v>25.714285714285712</v>
      </c>
      <c r="Q7" s="298">
        <f t="shared" ref="Q7:Q32" si="6">SUM(D7,F7,H7,J7,L7,N7,P7)</f>
        <v>125.71428571428571</v>
      </c>
      <c r="R7" s="299">
        <f t="shared" ref="R7:R32" si="7">Q7*100/$R$5</f>
        <v>25.142857142857142</v>
      </c>
    </row>
    <row r="8" spans="1:20" ht="15.75" customHeight="1">
      <c r="A8" s="291">
        <v>2</v>
      </c>
      <c r="B8" s="292" t="s">
        <v>745</v>
      </c>
      <c r="C8" s="293">
        <v>14</v>
      </c>
      <c r="D8" s="294">
        <f t="shared" si="0"/>
        <v>35</v>
      </c>
      <c r="E8" s="295">
        <v>14</v>
      </c>
      <c r="F8" s="294">
        <f t="shared" si="1"/>
        <v>35</v>
      </c>
      <c r="G8" s="295">
        <v>14</v>
      </c>
      <c r="H8" s="294">
        <f t="shared" ref="H8:H38" si="8">IF($B8="","",IF(G8=""," ",IF(G8="AB","AB",(G8/$H$5)*100)))</f>
        <v>35</v>
      </c>
      <c r="I8" s="296">
        <v>22</v>
      </c>
      <c r="J8" s="294">
        <f t="shared" si="2"/>
        <v>55.000000000000007</v>
      </c>
      <c r="K8" s="22"/>
      <c r="L8" s="294" t="str">
        <f t="shared" si="3"/>
        <v xml:space="preserve"> </v>
      </c>
      <c r="M8" s="22"/>
      <c r="N8" s="294" t="str">
        <f t="shared" si="4"/>
        <v xml:space="preserve"> </v>
      </c>
      <c r="O8" s="297">
        <v>18</v>
      </c>
      <c r="P8" s="294">
        <f t="shared" si="5"/>
        <v>51.428571428571423</v>
      </c>
      <c r="Q8" s="298">
        <f t="shared" si="6"/>
        <v>211.42857142857142</v>
      </c>
      <c r="R8" s="299">
        <f t="shared" si="7"/>
        <v>42.285714285714285</v>
      </c>
    </row>
    <row r="9" spans="1:20" ht="15.75" customHeight="1">
      <c r="A9" s="291">
        <v>3</v>
      </c>
      <c r="B9" s="292" t="s">
        <v>746</v>
      </c>
      <c r="C9" s="293">
        <v>30</v>
      </c>
      <c r="D9" s="294">
        <f t="shared" si="0"/>
        <v>75</v>
      </c>
      <c r="E9" s="295">
        <v>21</v>
      </c>
      <c r="F9" s="294">
        <f t="shared" si="1"/>
        <v>52.5</v>
      </c>
      <c r="G9" s="295">
        <v>26</v>
      </c>
      <c r="H9" s="294">
        <f t="shared" si="8"/>
        <v>65</v>
      </c>
      <c r="I9" s="296">
        <v>23</v>
      </c>
      <c r="J9" s="294">
        <f t="shared" si="2"/>
        <v>57.499999999999993</v>
      </c>
      <c r="K9" s="22"/>
      <c r="L9" s="294" t="str">
        <f t="shared" si="3"/>
        <v xml:space="preserve"> </v>
      </c>
      <c r="M9" s="22"/>
      <c r="N9" s="294" t="str">
        <f t="shared" si="4"/>
        <v xml:space="preserve"> </v>
      </c>
      <c r="O9" s="297">
        <v>23</v>
      </c>
      <c r="P9" s="294">
        <f t="shared" si="5"/>
        <v>65.714285714285708</v>
      </c>
      <c r="Q9" s="298">
        <f t="shared" si="6"/>
        <v>315.71428571428572</v>
      </c>
      <c r="R9" s="299">
        <f t="shared" si="7"/>
        <v>63.142857142857146</v>
      </c>
    </row>
    <row r="10" spans="1:20" ht="15.75" customHeight="1">
      <c r="A10" s="291">
        <v>4</v>
      </c>
      <c r="B10" s="292" t="s">
        <v>747</v>
      </c>
      <c r="C10" s="293">
        <v>17</v>
      </c>
      <c r="D10" s="294">
        <f t="shared" si="0"/>
        <v>42.5</v>
      </c>
      <c r="E10" s="295">
        <v>21</v>
      </c>
      <c r="F10" s="294">
        <f t="shared" si="1"/>
        <v>52.5</v>
      </c>
      <c r="G10" s="295">
        <v>30</v>
      </c>
      <c r="H10" s="294">
        <f t="shared" si="8"/>
        <v>75</v>
      </c>
      <c r="I10" s="296">
        <v>19</v>
      </c>
      <c r="J10" s="294">
        <f t="shared" si="2"/>
        <v>47.5</v>
      </c>
      <c r="K10" s="22"/>
      <c r="L10" s="294" t="str">
        <f t="shared" si="3"/>
        <v xml:space="preserve"> </v>
      </c>
      <c r="M10" s="22"/>
      <c r="N10" s="294" t="str">
        <f t="shared" si="4"/>
        <v xml:space="preserve"> </v>
      </c>
      <c r="O10" s="297">
        <v>19</v>
      </c>
      <c r="P10" s="294">
        <f t="shared" si="5"/>
        <v>54.285714285714285</v>
      </c>
      <c r="Q10" s="298">
        <f t="shared" si="6"/>
        <v>271.78571428571428</v>
      </c>
      <c r="R10" s="299">
        <f t="shared" si="7"/>
        <v>54.357142857142854</v>
      </c>
    </row>
    <row r="11" spans="1:20" ht="15.75" customHeight="1">
      <c r="A11" s="291">
        <v>5</v>
      </c>
      <c r="B11" s="292" t="s">
        <v>748</v>
      </c>
      <c r="C11" s="293">
        <v>24</v>
      </c>
      <c r="D11" s="294">
        <f t="shared" si="0"/>
        <v>60</v>
      </c>
      <c r="E11" s="295">
        <v>15</v>
      </c>
      <c r="F11" s="294">
        <f t="shared" si="1"/>
        <v>37.5</v>
      </c>
      <c r="G11" s="295">
        <v>18</v>
      </c>
      <c r="H11" s="294">
        <f t="shared" si="8"/>
        <v>45</v>
      </c>
      <c r="I11" s="296">
        <v>15</v>
      </c>
      <c r="J11" s="294">
        <f t="shared" si="2"/>
        <v>37.5</v>
      </c>
      <c r="K11" s="291"/>
      <c r="L11" s="294" t="str">
        <f t="shared" si="3"/>
        <v xml:space="preserve"> </v>
      </c>
      <c r="M11" s="22"/>
      <c r="N11" s="294" t="str">
        <f t="shared" si="4"/>
        <v xml:space="preserve"> </v>
      </c>
      <c r="O11" s="79">
        <v>15</v>
      </c>
      <c r="P11" s="294">
        <f t="shared" si="5"/>
        <v>42.857142857142854</v>
      </c>
      <c r="Q11" s="298">
        <f t="shared" si="6"/>
        <v>222.85714285714286</v>
      </c>
      <c r="R11" s="299">
        <f t="shared" si="7"/>
        <v>44.571428571428569</v>
      </c>
    </row>
    <row r="12" spans="1:20" ht="15.75" customHeight="1">
      <c r="A12" s="291">
        <v>6</v>
      </c>
      <c r="B12" s="292" t="s">
        <v>749</v>
      </c>
      <c r="C12" s="293">
        <v>26</v>
      </c>
      <c r="D12" s="294">
        <f t="shared" si="0"/>
        <v>65</v>
      </c>
      <c r="E12" s="295">
        <v>21</v>
      </c>
      <c r="F12" s="294">
        <f t="shared" si="1"/>
        <v>52.5</v>
      </c>
      <c r="G12" s="295">
        <v>14</v>
      </c>
      <c r="H12" s="294">
        <f t="shared" si="8"/>
        <v>35</v>
      </c>
      <c r="I12" s="296">
        <v>13</v>
      </c>
      <c r="J12" s="294">
        <f t="shared" si="2"/>
        <v>32.5</v>
      </c>
      <c r="K12" s="22"/>
      <c r="L12" s="294" t="str">
        <f t="shared" si="3"/>
        <v xml:space="preserve"> </v>
      </c>
      <c r="M12" s="22"/>
      <c r="N12" s="294" t="str">
        <f t="shared" si="4"/>
        <v xml:space="preserve"> </v>
      </c>
      <c r="O12" s="297">
        <v>22</v>
      </c>
      <c r="P12" s="294">
        <f t="shared" si="5"/>
        <v>62.857142857142854</v>
      </c>
      <c r="Q12" s="298">
        <f t="shared" si="6"/>
        <v>247.85714285714286</v>
      </c>
      <c r="R12" s="299">
        <f t="shared" si="7"/>
        <v>49.571428571428569</v>
      </c>
    </row>
    <row r="13" spans="1:20" ht="15.75" customHeight="1">
      <c r="A13" s="291">
        <v>7</v>
      </c>
      <c r="B13" s="292" t="s">
        <v>750</v>
      </c>
      <c r="C13" s="293">
        <v>20</v>
      </c>
      <c r="D13" s="294">
        <f t="shared" si="0"/>
        <v>50</v>
      </c>
      <c r="E13" s="295">
        <v>16</v>
      </c>
      <c r="F13" s="294">
        <f t="shared" si="1"/>
        <v>40</v>
      </c>
      <c r="G13" s="295">
        <v>24</v>
      </c>
      <c r="H13" s="294">
        <f t="shared" si="8"/>
        <v>60</v>
      </c>
      <c r="I13" s="296">
        <v>16</v>
      </c>
      <c r="J13" s="294">
        <f t="shared" si="2"/>
        <v>40</v>
      </c>
      <c r="K13" s="22"/>
      <c r="L13" s="294" t="str">
        <f t="shared" si="3"/>
        <v xml:space="preserve"> </v>
      </c>
      <c r="M13" s="22"/>
      <c r="N13" s="294" t="str">
        <f t="shared" si="4"/>
        <v xml:space="preserve"> </v>
      </c>
      <c r="O13" s="297">
        <v>13</v>
      </c>
      <c r="P13" s="294">
        <f t="shared" si="5"/>
        <v>37.142857142857146</v>
      </c>
      <c r="Q13" s="298">
        <f t="shared" si="6"/>
        <v>227.14285714285714</v>
      </c>
      <c r="R13" s="299">
        <f t="shared" si="7"/>
        <v>45.428571428571431</v>
      </c>
    </row>
    <row r="14" spans="1:20" ht="15.75" customHeight="1">
      <c r="A14" s="291">
        <v>8</v>
      </c>
      <c r="B14" s="292" t="s">
        <v>751</v>
      </c>
      <c r="C14" s="293">
        <v>27</v>
      </c>
      <c r="D14" s="294">
        <f t="shared" si="0"/>
        <v>67.5</v>
      </c>
      <c r="E14" s="295">
        <v>25</v>
      </c>
      <c r="F14" s="294">
        <f t="shared" si="1"/>
        <v>62.5</v>
      </c>
      <c r="G14" s="295">
        <v>37</v>
      </c>
      <c r="H14" s="294">
        <f t="shared" si="8"/>
        <v>92.5</v>
      </c>
      <c r="I14" s="296">
        <v>23</v>
      </c>
      <c r="J14" s="294">
        <f t="shared" si="2"/>
        <v>57.499999999999993</v>
      </c>
      <c r="K14" s="22"/>
      <c r="L14" s="294" t="str">
        <f t="shared" si="3"/>
        <v xml:space="preserve"> </v>
      </c>
      <c r="M14" s="22"/>
      <c r="N14" s="294" t="str">
        <f t="shared" si="4"/>
        <v xml:space="preserve"> </v>
      </c>
      <c r="O14" s="79"/>
      <c r="P14" s="294" t="str">
        <f t="shared" si="5"/>
        <v xml:space="preserve"> </v>
      </c>
      <c r="Q14" s="298">
        <f t="shared" si="6"/>
        <v>280</v>
      </c>
      <c r="R14" s="299">
        <f t="shared" si="7"/>
        <v>56</v>
      </c>
    </row>
    <row r="15" spans="1:20" ht="15.75" customHeight="1">
      <c r="A15" s="291">
        <v>9</v>
      </c>
      <c r="B15" s="292" t="s">
        <v>752</v>
      </c>
      <c r="C15" s="293">
        <v>17</v>
      </c>
      <c r="D15" s="294">
        <f t="shared" si="0"/>
        <v>42.5</v>
      </c>
      <c r="E15" s="295">
        <v>8</v>
      </c>
      <c r="F15" s="294">
        <f t="shared" si="1"/>
        <v>20</v>
      </c>
      <c r="G15" s="295">
        <v>14</v>
      </c>
      <c r="H15" s="294">
        <f t="shared" si="8"/>
        <v>35</v>
      </c>
      <c r="I15" s="296">
        <v>10</v>
      </c>
      <c r="J15" s="294">
        <f t="shared" si="2"/>
        <v>25</v>
      </c>
      <c r="K15" s="22"/>
      <c r="L15" s="294" t="str">
        <f t="shared" si="3"/>
        <v xml:space="preserve"> </v>
      </c>
      <c r="M15" s="22"/>
      <c r="N15" s="294" t="str">
        <f t="shared" si="4"/>
        <v xml:space="preserve"> </v>
      </c>
      <c r="O15" s="297">
        <v>13</v>
      </c>
      <c r="P15" s="294">
        <f t="shared" si="5"/>
        <v>37.142857142857146</v>
      </c>
      <c r="Q15" s="298">
        <f t="shared" si="6"/>
        <v>159.64285714285714</v>
      </c>
      <c r="R15" s="299">
        <f t="shared" si="7"/>
        <v>31.928571428571427</v>
      </c>
    </row>
    <row r="16" spans="1:20" ht="15.75" customHeight="1">
      <c r="A16" s="291">
        <v>10</v>
      </c>
      <c r="B16" s="292" t="s">
        <v>753</v>
      </c>
      <c r="C16" s="293">
        <v>23</v>
      </c>
      <c r="D16" s="294">
        <f t="shared" si="0"/>
        <v>57.499999999999993</v>
      </c>
      <c r="E16" s="295">
        <v>19</v>
      </c>
      <c r="F16" s="294">
        <f t="shared" si="1"/>
        <v>47.5</v>
      </c>
      <c r="G16" s="295">
        <v>24</v>
      </c>
      <c r="H16" s="294">
        <f t="shared" si="8"/>
        <v>60</v>
      </c>
      <c r="I16" s="296" t="s">
        <v>23</v>
      </c>
      <c r="J16" s="294" t="str">
        <f t="shared" si="2"/>
        <v>AB</v>
      </c>
      <c r="K16" s="22"/>
      <c r="L16" s="294" t="str">
        <f t="shared" si="3"/>
        <v xml:space="preserve"> </v>
      </c>
      <c r="M16" s="22"/>
      <c r="N16" s="294" t="str">
        <f t="shared" si="4"/>
        <v xml:space="preserve"> </v>
      </c>
      <c r="O16" s="297">
        <v>20</v>
      </c>
      <c r="P16" s="294">
        <f t="shared" si="5"/>
        <v>57.142857142857139</v>
      </c>
      <c r="Q16" s="298">
        <f t="shared" si="6"/>
        <v>222.14285714285714</v>
      </c>
      <c r="R16" s="299">
        <f t="shared" si="7"/>
        <v>44.428571428571431</v>
      </c>
    </row>
    <row r="17" spans="1:18" ht="15.75" customHeight="1">
      <c r="A17" s="291">
        <v>11</v>
      </c>
      <c r="B17" s="292" t="s">
        <v>754</v>
      </c>
      <c r="C17" s="293">
        <v>19</v>
      </c>
      <c r="D17" s="294">
        <f t="shared" si="0"/>
        <v>47.5</v>
      </c>
      <c r="E17" s="295">
        <v>23</v>
      </c>
      <c r="F17" s="294">
        <f t="shared" si="1"/>
        <v>57.499999999999993</v>
      </c>
      <c r="G17" s="295">
        <v>27</v>
      </c>
      <c r="H17" s="294">
        <f t="shared" si="8"/>
        <v>67.5</v>
      </c>
      <c r="I17" s="296">
        <v>31</v>
      </c>
      <c r="J17" s="294">
        <f t="shared" si="2"/>
        <v>77.5</v>
      </c>
      <c r="K17" s="22"/>
      <c r="L17" s="294" t="str">
        <f t="shared" si="3"/>
        <v xml:space="preserve"> </v>
      </c>
      <c r="M17" s="22"/>
      <c r="N17" s="294" t="str">
        <f t="shared" si="4"/>
        <v xml:space="preserve"> </v>
      </c>
      <c r="O17" s="297">
        <v>25</v>
      </c>
      <c r="P17" s="294">
        <f t="shared" si="5"/>
        <v>71.428571428571431</v>
      </c>
      <c r="Q17" s="298">
        <f t="shared" si="6"/>
        <v>321.42857142857144</v>
      </c>
      <c r="R17" s="299">
        <f t="shared" si="7"/>
        <v>64.285714285714292</v>
      </c>
    </row>
    <row r="18" spans="1:18" ht="15.75" customHeight="1">
      <c r="A18" s="291">
        <v>12</v>
      </c>
      <c r="B18" s="292" t="s">
        <v>755</v>
      </c>
      <c r="C18" s="293">
        <v>32</v>
      </c>
      <c r="D18" s="294">
        <f t="shared" si="0"/>
        <v>80</v>
      </c>
      <c r="E18" s="295">
        <v>23</v>
      </c>
      <c r="F18" s="294">
        <f t="shared" si="1"/>
        <v>57.499999999999993</v>
      </c>
      <c r="G18" s="295">
        <v>29</v>
      </c>
      <c r="H18" s="294">
        <f t="shared" si="8"/>
        <v>72.5</v>
      </c>
      <c r="I18" s="296">
        <v>33</v>
      </c>
      <c r="J18" s="294">
        <f t="shared" si="2"/>
        <v>82.5</v>
      </c>
      <c r="K18" s="22"/>
      <c r="L18" s="294" t="str">
        <f t="shared" si="3"/>
        <v xml:space="preserve"> </v>
      </c>
      <c r="M18" s="22"/>
      <c r="N18" s="294" t="str">
        <f t="shared" si="4"/>
        <v xml:space="preserve"> </v>
      </c>
      <c r="O18" s="79"/>
      <c r="P18" s="294" t="str">
        <f t="shared" si="5"/>
        <v xml:space="preserve"> </v>
      </c>
      <c r="Q18" s="298">
        <f t="shared" si="6"/>
        <v>292.5</v>
      </c>
      <c r="R18" s="299">
        <f t="shared" si="7"/>
        <v>58.5</v>
      </c>
    </row>
    <row r="19" spans="1:18" ht="15.75" customHeight="1">
      <c r="A19" s="291">
        <v>13</v>
      </c>
      <c r="B19" s="292" t="s">
        <v>756</v>
      </c>
      <c r="C19" s="293">
        <v>19</v>
      </c>
      <c r="D19" s="294">
        <f t="shared" si="0"/>
        <v>47.5</v>
      </c>
      <c r="E19" s="295">
        <v>24</v>
      </c>
      <c r="F19" s="294">
        <f t="shared" si="1"/>
        <v>60</v>
      </c>
      <c r="G19" s="295" t="s">
        <v>23</v>
      </c>
      <c r="H19" s="294" t="str">
        <f t="shared" si="8"/>
        <v>AB</v>
      </c>
      <c r="I19" s="296">
        <v>35</v>
      </c>
      <c r="J19" s="294">
        <f t="shared" si="2"/>
        <v>87.5</v>
      </c>
      <c r="K19" s="291"/>
      <c r="L19" s="294" t="str">
        <f t="shared" si="3"/>
        <v xml:space="preserve"> </v>
      </c>
      <c r="M19" s="22"/>
      <c r="N19" s="294" t="str">
        <f t="shared" si="4"/>
        <v xml:space="preserve"> </v>
      </c>
      <c r="O19" s="79"/>
      <c r="P19" s="294" t="str">
        <f t="shared" si="5"/>
        <v xml:space="preserve"> </v>
      </c>
      <c r="Q19" s="298">
        <f t="shared" si="6"/>
        <v>195</v>
      </c>
      <c r="R19" s="299">
        <f t="shared" si="7"/>
        <v>39</v>
      </c>
    </row>
    <row r="20" spans="1:18" ht="15.75" customHeight="1">
      <c r="A20" s="291">
        <v>14</v>
      </c>
      <c r="B20" s="292" t="s">
        <v>757</v>
      </c>
      <c r="C20" s="293">
        <v>33</v>
      </c>
      <c r="D20" s="294">
        <f t="shared" si="0"/>
        <v>82.5</v>
      </c>
      <c r="E20" s="295">
        <v>26</v>
      </c>
      <c r="F20" s="294">
        <f t="shared" si="1"/>
        <v>65</v>
      </c>
      <c r="G20" s="295">
        <v>30</v>
      </c>
      <c r="H20" s="294">
        <f t="shared" si="8"/>
        <v>75</v>
      </c>
      <c r="I20" s="296">
        <v>31</v>
      </c>
      <c r="J20" s="294">
        <f t="shared" si="2"/>
        <v>77.5</v>
      </c>
      <c r="K20" s="22"/>
      <c r="L20" s="294" t="str">
        <f t="shared" si="3"/>
        <v xml:space="preserve"> </v>
      </c>
      <c r="M20" s="22"/>
      <c r="N20" s="294" t="str">
        <f t="shared" si="4"/>
        <v xml:space="preserve"> </v>
      </c>
      <c r="O20" s="297">
        <v>20</v>
      </c>
      <c r="P20" s="294">
        <f t="shared" si="5"/>
        <v>57.142857142857139</v>
      </c>
      <c r="Q20" s="298">
        <f t="shared" si="6"/>
        <v>357.14285714285711</v>
      </c>
      <c r="R20" s="299">
        <f t="shared" si="7"/>
        <v>71.428571428571416</v>
      </c>
    </row>
    <row r="21" spans="1:18" ht="15.75" customHeight="1">
      <c r="A21" s="291">
        <v>15</v>
      </c>
      <c r="B21" s="292" t="s">
        <v>758</v>
      </c>
      <c r="C21" s="293">
        <v>26</v>
      </c>
      <c r="D21" s="294">
        <f t="shared" si="0"/>
        <v>65</v>
      </c>
      <c r="E21" s="295">
        <v>11</v>
      </c>
      <c r="F21" s="294">
        <f t="shared" si="1"/>
        <v>27.500000000000004</v>
      </c>
      <c r="G21" s="295">
        <v>26</v>
      </c>
      <c r="H21" s="294">
        <f t="shared" si="8"/>
        <v>65</v>
      </c>
      <c r="I21" s="296">
        <v>11</v>
      </c>
      <c r="J21" s="294">
        <f t="shared" si="2"/>
        <v>27.500000000000004</v>
      </c>
      <c r="K21" s="22"/>
      <c r="L21" s="294" t="str">
        <f t="shared" si="3"/>
        <v xml:space="preserve"> </v>
      </c>
      <c r="M21" s="22"/>
      <c r="N21" s="294" t="str">
        <f t="shared" si="4"/>
        <v xml:space="preserve"> </v>
      </c>
      <c r="O21" s="297">
        <v>14</v>
      </c>
      <c r="P21" s="294">
        <f t="shared" si="5"/>
        <v>40</v>
      </c>
      <c r="Q21" s="298">
        <f t="shared" si="6"/>
        <v>225</v>
      </c>
      <c r="R21" s="299">
        <f t="shared" si="7"/>
        <v>45</v>
      </c>
    </row>
    <row r="22" spans="1:18" ht="15.75" customHeight="1">
      <c r="A22" s="291">
        <v>16</v>
      </c>
      <c r="B22" s="292" t="s">
        <v>759</v>
      </c>
      <c r="C22" s="293">
        <v>23</v>
      </c>
      <c r="D22" s="294">
        <f t="shared" si="0"/>
        <v>57.499999999999993</v>
      </c>
      <c r="E22" s="295">
        <v>18</v>
      </c>
      <c r="F22" s="294">
        <f t="shared" si="1"/>
        <v>45</v>
      </c>
      <c r="G22" s="295">
        <v>24</v>
      </c>
      <c r="H22" s="294">
        <f t="shared" si="8"/>
        <v>60</v>
      </c>
      <c r="I22" s="296">
        <v>19</v>
      </c>
      <c r="J22" s="294">
        <f t="shared" si="2"/>
        <v>47.5</v>
      </c>
      <c r="K22" s="22"/>
      <c r="L22" s="294" t="str">
        <f t="shared" si="3"/>
        <v xml:space="preserve"> </v>
      </c>
      <c r="M22" s="22"/>
      <c r="N22" s="294" t="str">
        <f t="shared" si="4"/>
        <v xml:space="preserve"> </v>
      </c>
      <c r="O22" s="297">
        <v>24</v>
      </c>
      <c r="P22" s="294">
        <f t="shared" si="5"/>
        <v>68.571428571428569</v>
      </c>
      <c r="Q22" s="298">
        <f t="shared" si="6"/>
        <v>278.57142857142856</v>
      </c>
      <c r="R22" s="299">
        <f t="shared" si="7"/>
        <v>55.714285714285708</v>
      </c>
    </row>
    <row r="23" spans="1:18" ht="15.75" customHeight="1">
      <c r="A23" s="291">
        <v>17</v>
      </c>
      <c r="B23" s="292" t="s">
        <v>760</v>
      </c>
      <c r="C23" s="293">
        <v>20</v>
      </c>
      <c r="D23" s="294">
        <f t="shared" si="0"/>
        <v>50</v>
      </c>
      <c r="E23" s="295">
        <v>9</v>
      </c>
      <c r="F23" s="294">
        <f t="shared" si="1"/>
        <v>22.5</v>
      </c>
      <c r="G23" s="295">
        <v>7</v>
      </c>
      <c r="H23" s="294">
        <f t="shared" si="8"/>
        <v>17.5</v>
      </c>
      <c r="I23" s="296">
        <v>15</v>
      </c>
      <c r="J23" s="294">
        <f t="shared" si="2"/>
        <v>37.5</v>
      </c>
      <c r="K23" s="291">
        <v>18</v>
      </c>
      <c r="L23" s="294">
        <f t="shared" si="3"/>
        <v>45</v>
      </c>
      <c r="M23" s="22"/>
      <c r="N23" s="294" t="str">
        <f t="shared" si="4"/>
        <v xml:space="preserve"> </v>
      </c>
      <c r="O23" s="79"/>
      <c r="P23" s="294" t="str">
        <f t="shared" si="5"/>
        <v xml:space="preserve"> </v>
      </c>
      <c r="Q23" s="298">
        <f t="shared" si="6"/>
        <v>172.5</v>
      </c>
      <c r="R23" s="299">
        <f t="shared" si="7"/>
        <v>34.5</v>
      </c>
    </row>
    <row r="24" spans="1:18" ht="15.75" customHeight="1">
      <c r="A24" s="291">
        <v>18</v>
      </c>
      <c r="B24" s="292" t="s">
        <v>761</v>
      </c>
      <c r="C24" s="293">
        <v>20</v>
      </c>
      <c r="D24" s="294">
        <f t="shared" si="0"/>
        <v>50</v>
      </c>
      <c r="E24" s="295">
        <v>11</v>
      </c>
      <c r="F24" s="294">
        <f t="shared" si="1"/>
        <v>27.500000000000004</v>
      </c>
      <c r="G24" s="295">
        <v>11</v>
      </c>
      <c r="H24" s="294">
        <f t="shared" si="8"/>
        <v>27.500000000000004</v>
      </c>
      <c r="I24" s="296">
        <v>13</v>
      </c>
      <c r="J24" s="294">
        <f t="shared" si="2"/>
        <v>32.5</v>
      </c>
      <c r="K24" s="291"/>
      <c r="L24" s="294" t="str">
        <f t="shared" si="3"/>
        <v xml:space="preserve"> </v>
      </c>
      <c r="M24" s="22"/>
      <c r="N24" s="294" t="str">
        <f t="shared" si="4"/>
        <v xml:space="preserve"> </v>
      </c>
      <c r="O24" s="79">
        <v>13</v>
      </c>
      <c r="P24" s="294">
        <f t="shared" si="5"/>
        <v>37.142857142857146</v>
      </c>
      <c r="Q24" s="298">
        <f t="shared" si="6"/>
        <v>174.64285714285714</v>
      </c>
      <c r="R24" s="299">
        <f t="shared" si="7"/>
        <v>34.928571428571431</v>
      </c>
    </row>
    <row r="25" spans="1:18" ht="15.75" customHeight="1">
      <c r="A25" s="291">
        <v>19</v>
      </c>
      <c r="B25" s="292" t="s">
        <v>762</v>
      </c>
      <c r="C25" s="293">
        <v>18</v>
      </c>
      <c r="D25" s="294">
        <f t="shared" si="0"/>
        <v>45</v>
      </c>
      <c r="E25" s="295">
        <v>24</v>
      </c>
      <c r="F25" s="294">
        <f t="shared" si="1"/>
        <v>60</v>
      </c>
      <c r="G25" s="295">
        <v>33</v>
      </c>
      <c r="H25" s="294">
        <f t="shared" si="8"/>
        <v>82.5</v>
      </c>
      <c r="I25" s="296">
        <v>27</v>
      </c>
      <c r="J25" s="294">
        <f t="shared" si="2"/>
        <v>67.5</v>
      </c>
      <c r="K25" s="22"/>
      <c r="L25" s="294" t="str">
        <f t="shared" si="3"/>
        <v xml:space="preserve"> </v>
      </c>
      <c r="M25" s="22"/>
      <c r="N25" s="294" t="str">
        <f t="shared" si="4"/>
        <v xml:space="preserve"> </v>
      </c>
      <c r="O25" s="297">
        <v>13</v>
      </c>
      <c r="P25" s="294">
        <f t="shared" si="5"/>
        <v>37.142857142857146</v>
      </c>
      <c r="Q25" s="298">
        <f t="shared" si="6"/>
        <v>292.14285714285717</v>
      </c>
      <c r="R25" s="299">
        <f t="shared" si="7"/>
        <v>58.428571428571438</v>
      </c>
    </row>
    <row r="26" spans="1:18" ht="15.75" customHeight="1">
      <c r="A26" s="291">
        <v>20</v>
      </c>
      <c r="B26" s="292" t="s">
        <v>763</v>
      </c>
      <c r="C26" s="293">
        <v>15</v>
      </c>
      <c r="D26" s="294">
        <f t="shared" si="0"/>
        <v>37.5</v>
      </c>
      <c r="E26" s="295">
        <v>15</v>
      </c>
      <c r="F26" s="294">
        <f t="shared" si="1"/>
        <v>37.5</v>
      </c>
      <c r="G26" s="295">
        <v>17</v>
      </c>
      <c r="H26" s="294">
        <f t="shared" si="8"/>
        <v>42.5</v>
      </c>
      <c r="I26" s="296">
        <v>13</v>
      </c>
      <c r="J26" s="294">
        <f t="shared" si="2"/>
        <v>32.5</v>
      </c>
      <c r="K26" s="22"/>
      <c r="L26" s="294" t="str">
        <f t="shared" si="3"/>
        <v xml:space="preserve"> </v>
      </c>
      <c r="M26" s="22"/>
      <c r="N26" s="294" t="str">
        <f t="shared" si="4"/>
        <v xml:space="preserve"> </v>
      </c>
      <c r="O26" s="297">
        <v>16</v>
      </c>
      <c r="P26" s="294">
        <f t="shared" si="5"/>
        <v>45.714285714285715</v>
      </c>
      <c r="Q26" s="298">
        <f t="shared" si="6"/>
        <v>195.71428571428572</v>
      </c>
      <c r="R26" s="299">
        <f t="shared" si="7"/>
        <v>39.142857142857146</v>
      </c>
    </row>
    <row r="27" spans="1:18" ht="19.2">
      <c r="A27" s="291">
        <v>21</v>
      </c>
      <c r="B27" s="292" t="s">
        <v>764</v>
      </c>
      <c r="C27" s="293">
        <v>19</v>
      </c>
      <c r="D27" s="294">
        <f t="shared" si="0"/>
        <v>47.5</v>
      </c>
      <c r="E27" s="295">
        <v>18</v>
      </c>
      <c r="F27" s="294">
        <f t="shared" si="1"/>
        <v>45</v>
      </c>
      <c r="G27" s="295">
        <v>14</v>
      </c>
      <c r="H27" s="294">
        <f t="shared" si="8"/>
        <v>35</v>
      </c>
      <c r="I27" s="296">
        <v>8</v>
      </c>
      <c r="J27" s="294">
        <f t="shared" si="2"/>
        <v>20</v>
      </c>
      <c r="K27" s="291">
        <v>13</v>
      </c>
      <c r="L27" s="294">
        <f t="shared" si="3"/>
        <v>32.5</v>
      </c>
      <c r="M27" s="22"/>
      <c r="N27" s="294" t="str">
        <f t="shared" si="4"/>
        <v xml:space="preserve"> </v>
      </c>
      <c r="O27" s="79"/>
      <c r="P27" s="294" t="str">
        <f t="shared" si="5"/>
        <v xml:space="preserve"> </v>
      </c>
      <c r="Q27" s="298">
        <f t="shared" si="6"/>
        <v>180</v>
      </c>
      <c r="R27" s="299">
        <f t="shared" si="7"/>
        <v>36</v>
      </c>
    </row>
    <row r="28" spans="1:18" ht="19.2">
      <c r="A28" s="291">
        <v>22</v>
      </c>
      <c r="B28" s="292" t="s">
        <v>765</v>
      </c>
      <c r="C28" s="293">
        <v>31</v>
      </c>
      <c r="D28" s="294">
        <f t="shared" si="0"/>
        <v>77.5</v>
      </c>
      <c r="E28" s="295">
        <v>15</v>
      </c>
      <c r="F28" s="294">
        <f t="shared" si="1"/>
        <v>37.5</v>
      </c>
      <c r="G28" s="295">
        <v>40</v>
      </c>
      <c r="H28" s="294">
        <f t="shared" si="8"/>
        <v>100</v>
      </c>
      <c r="I28" s="296">
        <v>23</v>
      </c>
      <c r="J28" s="294">
        <f t="shared" si="2"/>
        <v>57.499999999999993</v>
      </c>
      <c r="K28" s="291"/>
      <c r="L28" s="294" t="str">
        <f t="shared" si="3"/>
        <v xml:space="preserve"> </v>
      </c>
      <c r="M28" s="22"/>
      <c r="N28" s="294" t="str">
        <f t="shared" si="4"/>
        <v xml:space="preserve"> </v>
      </c>
      <c r="O28" s="79">
        <v>23</v>
      </c>
      <c r="P28" s="294">
        <f t="shared" si="5"/>
        <v>65.714285714285708</v>
      </c>
      <c r="Q28" s="298">
        <f t="shared" si="6"/>
        <v>338.21428571428572</v>
      </c>
      <c r="R28" s="299">
        <f t="shared" si="7"/>
        <v>67.642857142857139</v>
      </c>
    </row>
    <row r="29" spans="1:18" ht="19.2">
      <c r="A29" s="291">
        <v>23</v>
      </c>
      <c r="B29" s="292" t="s">
        <v>766</v>
      </c>
      <c r="C29" s="293">
        <v>34</v>
      </c>
      <c r="D29" s="294">
        <f t="shared" si="0"/>
        <v>85</v>
      </c>
      <c r="E29" s="295">
        <v>36</v>
      </c>
      <c r="F29" s="294">
        <f t="shared" si="1"/>
        <v>90</v>
      </c>
      <c r="G29" s="295">
        <v>22</v>
      </c>
      <c r="H29" s="294">
        <f t="shared" si="8"/>
        <v>55.000000000000007</v>
      </c>
      <c r="I29" s="296">
        <v>36</v>
      </c>
      <c r="J29" s="294">
        <f t="shared" si="2"/>
        <v>90</v>
      </c>
      <c r="K29" s="22"/>
      <c r="L29" s="294" t="str">
        <f t="shared" si="3"/>
        <v xml:space="preserve"> </v>
      </c>
      <c r="M29" s="22"/>
      <c r="N29" s="294" t="str">
        <f t="shared" si="4"/>
        <v xml:space="preserve"> </v>
      </c>
      <c r="O29" s="79"/>
      <c r="P29" s="294" t="str">
        <f t="shared" si="5"/>
        <v xml:space="preserve"> </v>
      </c>
      <c r="Q29" s="298">
        <f t="shared" si="6"/>
        <v>320</v>
      </c>
      <c r="R29" s="299">
        <f t="shared" si="7"/>
        <v>64</v>
      </c>
    </row>
    <row r="30" spans="1:18" ht="19.2">
      <c r="A30" s="291">
        <v>24</v>
      </c>
      <c r="B30" s="292" t="s">
        <v>767</v>
      </c>
      <c r="C30" s="293">
        <v>24</v>
      </c>
      <c r="D30" s="294">
        <f t="shared" si="0"/>
        <v>60</v>
      </c>
      <c r="E30" s="295" t="s">
        <v>23</v>
      </c>
      <c r="F30" s="294" t="str">
        <f t="shared" si="1"/>
        <v>AB</v>
      </c>
      <c r="G30" s="295" t="s">
        <v>23</v>
      </c>
      <c r="H30" s="294" t="str">
        <f t="shared" si="8"/>
        <v>AB</v>
      </c>
      <c r="I30" s="296" t="s">
        <v>23</v>
      </c>
      <c r="J30" s="294" t="str">
        <f t="shared" si="2"/>
        <v>AB</v>
      </c>
      <c r="K30" s="291" t="s">
        <v>24</v>
      </c>
      <c r="L30" s="294" t="str">
        <f t="shared" si="3"/>
        <v>AB</v>
      </c>
      <c r="M30" s="22"/>
      <c r="N30" s="294" t="str">
        <f t="shared" si="4"/>
        <v xml:space="preserve"> </v>
      </c>
      <c r="O30" s="79"/>
      <c r="P30" s="294" t="str">
        <f t="shared" si="5"/>
        <v xml:space="preserve"> </v>
      </c>
      <c r="Q30" s="298">
        <f t="shared" si="6"/>
        <v>60</v>
      </c>
      <c r="R30" s="299">
        <f t="shared" si="7"/>
        <v>12</v>
      </c>
    </row>
    <row r="31" spans="1:18" ht="19.2">
      <c r="A31" s="291">
        <v>25</v>
      </c>
      <c r="B31" s="292" t="s">
        <v>768</v>
      </c>
      <c r="C31" s="293">
        <v>29</v>
      </c>
      <c r="D31" s="294">
        <f t="shared" si="0"/>
        <v>72.5</v>
      </c>
      <c r="E31" s="295">
        <v>23</v>
      </c>
      <c r="F31" s="294">
        <f t="shared" si="1"/>
        <v>57.499999999999993</v>
      </c>
      <c r="G31" s="295">
        <v>22</v>
      </c>
      <c r="H31" s="294">
        <f t="shared" si="8"/>
        <v>55.000000000000007</v>
      </c>
      <c r="I31" s="296">
        <v>36</v>
      </c>
      <c r="J31" s="294">
        <f t="shared" si="2"/>
        <v>90</v>
      </c>
      <c r="K31" s="22"/>
      <c r="L31" s="294" t="str">
        <f t="shared" si="3"/>
        <v xml:space="preserve"> </v>
      </c>
      <c r="M31" s="22"/>
      <c r="N31" s="294" t="str">
        <f t="shared" si="4"/>
        <v xml:space="preserve"> </v>
      </c>
      <c r="O31" s="79">
        <v>29</v>
      </c>
      <c r="P31" s="294">
        <f t="shared" si="5"/>
        <v>82.857142857142861</v>
      </c>
      <c r="Q31" s="298">
        <f t="shared" si="6"/>
        <v>357.85714285714289</v>
      </c>
      <c r="R31" s="299">
        <f t="shared" si="7"/>
        <v>71.571428571428584</v>
      </c>
    </row>
    <row r="32" spans="1:18" ht="19.2">
      <c r="A32" s="291">
        <v>26</v>
      </c>
      <c r="B32" s="292" t="s">
        <v>769</v>
      </c>
      <c r="C32" s="293">
        <v>25</v>
      </c>
      <c r="D32" s="294">
        <f t="shared" si="0"/>
        <v>62.5</v>
      </c>
      <c r="E32" s="295">
        <v>25</v>
      </c>
      <c r="F32" s="294">
        <f t="shared" si="1"/>
        <v>62.5</v>
      </c>
      <c r="G32" s="295">
        <v>15</v>
      </c>
      <c r="H32" s="294">
        <f t="shared" si="8"/>
        <v>37.5</v>
      </c>
      <c r="I32" s="296">
        <v>28</v>
      </c>
      <c r="J32" s="294">
        <f t="shared" si="2"/>
        <v>70</v>
      </c>
      <c r="K32" s="22"/>
      <c r="L32" s="294" t="str">
        <f t="shared" si="3"/>
        <v xml:space="preserve"> </v>
      </c>
      <c r="M32" s="22"/>
      <c r="N32" s="294" t="str">
        <f t="shared" si="4"/>
        <v xml:space="preserve"> </v>
      </c>
      <c r="O32" s="291">
        <v>18</v>
      </c>
      <c r="P32" s="294">
        <f t="shared" si="5"/>
        <v>51.428571428571423</v>
      </c>
      <c r="Q32" s="298">
        <f t="shared" si="6"/>
        <v>283.92857142857144</v>
      </c>
      <c r="R32" s="299">
        <f t="shared" si="7"/>
        <v>56.785714285714292</v>
      </c>
    </row>
    <row r="33" spans="1:18" ht="15.6">
      <c r="A33" s="291">
        <v>27</v>
      </c>
      <c r="B33" s="300" t="s">
        <v>770</v>
      </c>
      <c r="C33" s="22">
        <v>20</v>
      </c>
      <c r="D33" s="294">
        <f t="shared" si="0"/>
        <v>50</v>
      </c>
      <c r="E33" s="22" t="s">
        <v>23</v>
      </c>
      <c r="F33" s="301"/>
      <c r="G33" s="22" t="s">
        <v>23</v>
      </c>
      <c r="H33" s="302" t="str">
        <f t="shared" si="8"/>
        <v>AB</v>
      </c>
      <c r="I33" s="22" t="s">
        <v>23</v>
      </c>
      <c r="J33" s="302" t="str">
        <f t="shared" si="2"/>
        <v>AB</v>
      </c>
      <c r="K33" s="22"/>
      <c r="L33" s="302" t="str">
        <f t="shared" si="3"/>
        <v xml:space="preserve"> </v>
      </c>
      <c r="M33" s="22"/>
      <c r="N33" s="301"/>
      <c r="O33" s="79"/>
      <c r="P33" s="302" t="str">
        <f t="shared" si="5"/>
        <v xml:space="preserve"> </v>
      </c>
      <c r="Q33" s="303"/>
      <c r="R33" s="303"/>
    </row>
    <row r="34" spans="1:18" ht="15.6">
      <c r="A34" s="291">
        <v>28</v>
      </c>
      <c r="B34" s="304"/>
      <c r="C34" s="22"/>
      <c r="D34" s="301"/>
      <c r="E34" s="22"/>
      <c r="F34" s="301"/>
      <c r="G34" s="22"/>
      <c r="H34" s="302" t="str">
        <f t="shared" si="8"/>
        <v/>
      </c>
      <c r="I34" s="22"/>
      <c r="J34" s="302" t="str">
        <f t="shared" si="2"/>
        <v/>
      </c>
      <c r="K34" s="22"/>
      <c r="L34" s="302" t="str">
        <f t="shared" si="3"/>
        <v/>
      </c>
      <c r="M34" s="22"/>
      <c r="N34" s="301"/>
      <c r="O34" s="79"/>
      <c r="P34" s="302" t="str">
        <f t="shared" si="5"/>
        <v/>
      </c>
      <c r="Q34" s="303"/>
      <c r="R34" s="303"/>
    </row>
    <row r="35" spans="1:18" ht="15.6">
      <c r="A35" s="291">
        <v>29</v>
      </c>
      <c r="B35" s="304"/>
      <c r="C35" s="22"/>
      <c r="D35" s="301"/>
      <c r="E35" s="22"/>
      <c r="F35" s="301"/>
      <c r="G35" s="22"/>
      <c r="H35" s="302" t="str">
        <f t="shared" si="8"/>
        <v/>
      </c>
      <c r="I35" s="22"/>
      <c r="J35" s="302" t="str">
        <f t="shared" si="2"/>
        <v/>
      </c>
      <c r="K35" s="22"/>
      <c r="L35" s="302" t="str">
        <f t="shared" si="3"/>
        <v/>
      </c>
      <c r="M35" s="22"/>
      <c r="N35" s="301"/>
      <c r="O35" s="79"/>
      <c r="P35" s="302" t="str">
        <f t="shared" si="5"/>
        <v/>
      </c>
      <c r="Q35" s="303"/>
      <c r="R35" s="303"/>
    </row>
    <row r="36" spans="1:18" ht="15.6">
      <c r="A36" s="291">
        <v>30</v>
      </c>
      <c r="B36" s="304"/>
      <c r="C36" s="22"/>
      <c r="D36" s="301"/>
      <c r="E36" s="22"/>
      <c r="F36" s="301"/>
      <c r="G36" s="22"/>
      <c r="H36" s="302" t="str">
        <f t="shared" si="8"/>
        <v/>
      </c>
      <c r="I36" s="22"/>
      <c r="J36" s="302" t="str">
        <f t="shared" si="2"/>
        <v/>
      </c>
      <c r="K36" s="22"/>
      <c r="L36" s="302" t="str">
        <f t="shared" si="3"/>
        <v/>
      </c>
      <c r="M36" s="22"/>
      <c r="N36" s="301"/>
      <c r="O36" s="79"/>
      <c r="P36" s="302" t="str">
        <f t="shared" si="5"/>
        <v/>
      </c>
      <c r="Q36" s="303"/>
      <c r="R36" s="303"/>
    </row>
    <row r="37" spans="1:18" ht="15.6">
      <c r="A37" s="291">
        <v>31</v>
      </c>
      <c r="B37" s="304"/>
      <c r="C37" s="22"/>
      <c r="D37" s="301"/>
      <c r="E37" s="22"/>
      <c r="F37" s="301"/>
      <c r="G37" s="22"/>
      <c r="H37" s="302" t="str">
        <f t="shared" si="8"/>
        <v/>
      </c>
      <c r="I37" s="22"/>
      <c r="J37" s="302" t="str">
        <f t="shared" si="2"/>
        <v/>
      </c>
      <c r="K37" s="22"/>
      <c r="L37" s="302" t="str">
        <f t="shared" si="3"/>
        <v/>
      </c>
      <c r="M37" s="22"/>
      <c r="N37" s="301"/>
      <c r="O37" s="79"/>
      <c r="P37" s="302" t="str">
        <f t="shared" si="5"/>
        <v/>
      </c>
      <c r="Q37" s="303"/>
      <c r="R37" s="303"/>
    </row>
    <row r="38" spans="1:18" ht="14.4">
      <c r="A38" s="446" t="s">
        <v>771</v>
      </c>
      <c r="B38" s="362"/>
      <c r="C38" s="372"/>
      <c r="D38" s="362"/>
      <c r="E38" s="372"/>
      <c r="F38" s="362"/>
      <c r="G38" s="47"/>
      <c r="H38" s="302" t="str">
        <f t="shared" si="8"/>
        <v/>
      </c>
      <c r="I38" s="47"/>
      <c r="J38" s="302" t="str">
        <f t="shared" si="2"/>
        <v/>
      </c>
      <c r="K38" s="47"/>
      <c r="L38" s="302" t="str">
        <f t="shared" si="3"/>
        <v/>
      </c>
      <c r="M38" s="372"/>
      <c r="N38" s="362"/>
      <c r="O38" s="262"/>
      <c r="P38" s="302" t="str">
        <f t="shared" si="5"/>
        <v/>
      </c>
      <c r="Q38" s="438"/>
      <c r="R38" s="362"/>
    </row>
    <row r="39" spans="1:18" ht="15.6">
      <c r="A39" s="447" t="s">
        <v>71</v>
      </c>
      <c r="B39" s="305" t="s">
        <v>72</v>
      </c>
      <c r="C39" s="436">
        <v>27</v>
      </c>
      <c r="D39" s="362"/>
      <c r="E39" s="372">
        <v>27</v>
      </c>
      <c r="F39" s="362"/>
      <c r="G39" s="443">
        <v>0.7</v>
      </c>
      <c r="H39" s="362"/>
      <c r="I39" s="443"/>
      <c r="J39" s="362"/>
      <c r="K39" s="443"/>
      <c r="L39" s="362"/>
      <c r="M39" s="372"/>
      <c r="N39" s="362"/>
      <c r="O39" s="444"/>
      <c r="P39" s="362"/>
      <c r="Q39" s="372"/>
      <c r="R39" s="362"/>
    </row>
    <row r="40" spans="1:18" ht="15.6">
      <c r="A40" s="381"/>
      <c r="B40" s="305" t="s">
        <v>772</v>
      </c>
      <c r="C40" s="433"/>
      <c r="D40" s="362"/>
      <c r="E40" s="433">
        <v>2</v>
      </c>
      <c r="F40" s="362"/>
      <c r="G40" s="443">
        <v>2</v>
      </c>
      <c r="H40" s="362"/>
      <c r="I40" s="443"/>
      <c r="J40" s="362"/>
      <c r="K40" s="443"/>
      <c r="L40" s="362"/>
      <c r="M40" s="433"/>
      <c r="N40" s="362"/>
      <c r="O40" s="444"/>
      <c r="P40" s="362"/>
      <c r="Q40" s="433"/>
      <c r="R40" s="362"/>
    </row>
    <row r="41" spans="1:18" ht="15.6">
      <c r="A41" s="381"/>
      <c r="B41" s="305" t="s">
        <v>74</v>
      </c>
      <c r="C41" s="432">
        <f>COUNTIFS(D6:D37,"&gt;0")</f>
        <v>27</v>
      </c>
      <c r="D41" s="362"/>
      <c r="E41" s="432">
        <f>COUNTIFS(F6:F37,"&gt;0")</f>
        <v>25</v>
      </c>
      <c r="F41" s="362"/>
      <c r="G41" s="432">
        <f>COUNTIFS(H6:H37,"&gt;0")</f>
        <v>24</v>
      </c>
      <c r="H41" s="362"/>
      <c r="I41" s="432">
        <f>COUNTIFS(J6:J37,"&gt;0")</f>
        <v>24</v>
      </c>
      <c r="J41" s="362"/>
      <c r="K41" s="432">
        <f>COUNTIFS(L6:L37,"&gt;0")</f>
        <v>2</v>
      </c>
      <c r="L41" s="362"/>
      <c r="M41" s="432">
        <f>COUNTIFS(N6:N37,"&gt;0")</f>
        <v>0</v>
      </c>
      <c r="N41" s="362"/>
      <c r="O41" s="432">
        <f>COUNTIFS(P6:P37,"&gt;0")</f>
        <v>19</v>
      </c>
      <c r="P41" s="362"/>
      <c r="Q41" s="433"/>
      <c r="R41" s="362"/>
    </row>
    <row r="42" spans="1:18" ht="15.6">
      <c r="A42" s="381"/>
      <c r="B42" s="305" t="s">
        <v>75</v>
      </c>
      <c r="C42" s="432">
        <f>C41-C44</f>
        <v>27</v>
      </c>
      <c r="D42" s="362"/>
      <c r="E42" s="432">
        <f>E41-E44</f>
        <v>20</v>
      </c>
      <c r="F42" s="362"/>
      <c r="G42" s="432">
        <f>G41-G44</f>
        <v>21</v>
      </c>
      <c r="H42" s="362"/>
      <c r="I42" s="432">
        <f>I41-I44</f>
        <v>20</v>
      </c>
      <c r="J42" s="362"/>
      <c r="K42" s="432">
        <f>K41-K44</f>
        <v>2</v>
      </c>
      <c r="L42" s="362"/>
      <c r="M42" s="432">
        <f>M41-M44</f>
        <v>0</v>
      </c>
      <c r="N42" s="362"/>
      <c r="O42" s="432">
        <f>O41-O44</f>
        <v>18</v>
      </c>
      <c r="P42" s="362"/>
      <c r="Q42" s="433"/>
      <c r="R42" s="362"/>
    </row>
    <row r="43" spans="1:18" ht="15.6">
      <c r="A43" s="381"/>
      <c r="B43" s="305" t="s">
        <v>76</v>
      </c>
      <c r="C43" s="434">
        <f>(C42/C41)*100</f>
        <v>100</v>
      </c>
      <c r="D43" s="362"/>
      <c r="E43" s="434">
        <f>(E42/E41)*100</f>
        <v>80</v>
      </c>
      <c r="F43" s="362"/>
      <c r="G43" s="434">
        <f>(G42/G41)*100</f>
        <v>87.5</v>
      </c>
      <c r="H43" s="362"/>
      <c r="I43" s="434">
        <f>(I42/I41)*100</f>
        <v>83.333333333333343</v>
      </c>
      <c r="J43" s="362"/>
      <c r="K43" s="434">
        <f>(K42/K41)*100</f>
        <v>100</v>
      </c>
      <c r="L43" s="362"/>
      <c r="M43" s="434" t="e">
        <f>(M42/M41)*100</f>
        <v>#DIV/0!</v>
      </c>
      <c r="N43" s="362"/>
      <c r="O43" s="434">
        <f>(O42/O41)*100</f>
        <v>94.73684210526315</v>
      </c>
      <c r="P43" s="362"/>
      <c r="Q43" s="435"/>
      <c r="R43" s="362"/>
    </row>
    <row r="44" spans="1:18" ht="15.6">
      <c r="A44" s="381"/>
      <c r="B44" s="305" t="s">
        <v>77</v>
      </c>
      <c r="C44" s="432">
        <f>COUNTIFS(D6:D37,"&lt;=32",D6:D37,"&gt; 0")</f>
        <v>0</v>
      </c>
      <c r="D44" s="362"/>
      <c r="E44" s="432">
        <f>COUNTIFS(F6:F37,"&lt;=32",F6:F37,"&gt; 0")</f>
        <v>5</v>
      </c>
      <c r="F44" s="362"/>
      <c r="G44" s="432">
        <f>COUNTIFS(H6:H37,"&lt;=32",H6:H37,"&gt; 0")</f>
        <v>3</v>
      </c>
      <c r="H44" s="362"/>
      <c r="I44" s="432">
        <f>COUNTIFS(J6:J37,"&lt;=32",J6:J37,"&gt; 0")</f>
        <v>4</v>
      </c>
      <c r="J44" s="362"/>
      <c r="K44" s="432">
        <f>COUNTIFS(L6:L37,"&lt;=32",L6:L37,"&gt; 0")</f>
        <v>0</v>
      </c>
      <c r="L44" s="362"/>
      <c r="M44" s="432">
        <f>COUNTIFS(N6:N37,"&lt;=32",N6:N37,"&gt; 0")</f>
        <v>0</v>
      </c>
      <c r="N44" s="362"/>
      <c r="O44" s="432">
        <f>COUNTIFS(P6:P37,"&lt;=32",P6:P37,"&gt; 0")</f>
        <v>1</v>
      </c>
      <c r="P44" s="362"/>
      <c r="Q44" s="433"/>
      <c r="R44" s="362"/>
    </row>
    <row r="45" spans="1:18" ht="15.6">
      <c r="A45" s="381"/>
      <c r="B45" s="305" t="s">
        <v>78</v>
      </c>
      <c r="C45" s="432">
        <f>COUNTIFS(D6:D37,"&gt;=32.1",D6:D37,"&lt;=44")</f>
        <v>5</v>
      </c>
      <c r="D45" s="362"/>
      <c r="E45" s="432">
        <f>COUNTIFS(F6:F37,"&gt;=32.1",F6:F37,"&lt;=44")</f>
        <v>5</v>
      </c>
      <c r="F45" s="362"/>
      <c r="G45" s="432">
        <f>COUNTIFS(H6:H37,"&gt;=32.1",H6:H37,"&lt;=44")</f>
        <v>6</v>
      </c>
      <c r="H45" s="362"/>
      <c r="I45" s="432">
        <f>COUNTIFS(J6:J37,"&gt;=32.1",J6:J37,"&lt;=44")</f>
        <v>6</v>
      </c>
      <c r="J45" s="362"/>
      <c r="K45" s="432">
        <f>COUNTIFS(L6:L37,"&gt;=32.1",L6:L37,"&lt;=44")</f>
        <v>1</v>
      </c>
      <c r="L45" s="362"/>
      <c r="M45" s="432">
        <f>COUNTIFS(N6:N37,"&gt;=32.1",N6:N37,"&lt;=44")</f>
        <v>0</v>
      </c>
      <c r="N45" s="362"/>
      <c r="O45" s="432">
        <f>COUNTIFS(P6:P37,"&gt;=32.1",P6:P37,"&lt;=44")</f>
        <v>6</v>
      </c>
      <c r="P45" s="362"/>
      <c r="Q45" s="433"/>
      <c r="R45" s="362"/>
    </row>
    <row r="46" spans="1:18" ht="15.6">
      <c r="A46" s="381"/>
      <c r="B46" s="305" t="s">
        <v>79</v>
      </c>
      <c r="C46" s="432">
        <f>COUNTIFS(D6:D37,"&gt;=44.1",D6:D37,"&lt;=59")</f>
        <v>10</v>
      </c>
      <c r="D46" s="362"/>
      <c r="E46" s="432">
        <f>COUNTIFS(F6:F37,"&gt;=44.1",F6:F37,"&lt;=59")</f>
        <v>9</v>
      </c>
      <c r="F46" s="362"/>
      <c r="G46" s="432">
        <f>COUNTIFS(H6:H37,"&gt;=44.1",H6:H37,"&lt;=59")</f>
        <v>3</v>
      </c>
      <c r="H46" s="362"/>
      <c r="I46" s="432">
        <f>COUNTIFS(J6:J37,"&gt;=44.1",J6:J37,"&lt;=59")</f>
        <v>6</v>
      </c>
      <c r="J46" s="362"/>
      <c r="K46" s="432">
        <f>COUNTIFS(L6:L37,"&gt;=44.1",L6:L37,"&lt;=59")</f>
        <v>1</v>
      </c>
      <c r="L46" s="362"/>
      <c r="M46" s="432">
        <f>COUNTIFS(N6:N37,"&gt;=44.1",N6:N37,"&lt;=59")</f>
        <v>0</v>
      </c>
      <c r="N46" s="362"/>
      <c r="O46" s="432">
        <f>COUNTIFS(P6:P37,"&gt;=44.1",P6:P37,"&lt;=59")</f>
        <v>6</v>
      </c>
      <c r="P46" s="362"/>
      <c r="Q46" s="433"/>
      <c r="R46" s="362"/>
    </row>
    <row r="47" spans="1:18" ht="15.6">
      <c r="A47" s="381"/>
      <c r="B47" s="305" t="s">
        <v>80</v>
      </c>
      <c r="C47" s="432">
        <f>COUNTIFS(D6:D37,"&gt;=59.1",D6:D37,"&lt;=74")</f>
        <v>7</v>
      </c>
      <c r="D47" s="362"/>
      <c r="E47" s="432">
        <f>COUNTIFS(F6:F37,"&gt;=59.1",F6:F37,"&lt;=74")</f>
        <v>5</v>
      </c>
      <c r="F47" s="362"/>
      <c r="G47" s="432">
        <f>COUNTIFS(H6:H37,"&gt;=59.1",H6:H37,"&lt;=74")</f>
        <v>7</v>
      </c>
      <c r="H47" s="362"/>
      <c r="I47" s="432">
        <f>COUNTIFS(J6:J37,"&gt;=59.1",J6:J37,"&lt;=74")</f>
        <v>2</v>
      </c>
      <c r="J47" s="362"/>
      <c r="K47" s="432">
        <f>COUNTIFS(L6:L37,"&gt;=59.1",L6:L37,"&lt;=74")</f>
        <v>0</v>
      </c>
      <c r="L47" s="362"/>
      <c r="M47" s="432">
        <f>COUNTIFS(N6:N37,"&gt;=59.1",N6:N37,"&lt;=74")</f>
        <v>0</v>
      </c>
      <c r="N47" s="362"/>
      <c r="O47" s="432">
        <f>COUNTIFS(P6:P37,"&gt;=59.1",P6:P37,"&lt;=74")</f>
        <v>5</v>
      </c>
      <c r="P47" s="362"/>
      <c r="Q47" s="433"/>
      <c r="R47" s="362"/>
    </row>
    <row r="48" spans="1:18" ht="15.6">
      <c r="A48" s="381"/>
      <c r="B48" s="305" t="s">
        <v>81</v>
      </c>
      <c r="C48" s="436">
        <f>COUNTIFS(D6:D37,"&gt;=74.1",D6:D37,"&lt;89")</f>
        <v>5</v>
      </c>
      <c r="D48" s="362"/>
      <c r="E48" s="436">
        <f>COUNTIFS(F6:F37,"&gt;=74.1",F6:F37,"&lt;89")</f>
        <v>0</v>
      </c>
      <c r="F48" s="362"/>
      <c r="G48" s="436">
        <f>COUNTIFS(H6:H37,"&gt;=74.1",H6:H37,"&lt;89")</f>
        <v>3</v>
      </c>
      <c r="H48" s="362"/>
      <c r="I48" s="436">
        <f>COUNTIFS(J6:J37,"&gt;=74.1",J6:J37,"&lt;89")</f>
        <v>4</v>
      </c>
      <c r="J48" s="362"/>
      <c r="K48" s="436">
        <f>COUNTIFS(L6:L37,"&gt;=74.1",L6:L37,"&lt;89")</f>
        <v>0</v>
      </c>
      <c r="L48" s="362"/>
      <c r="M48" s="436">
        <f>COUNTIFS(N6:N37,"&gt;=74.1",N6:N37,"&lt;89")</f>
        <v>0</v>
      </c>
      <c r="N48" s="362"/>
      <c r="O48" s="436">
        <f>COUNTIFS(P6:P37,"&gt;=74.1",P6:P37,"&lt;89")</f>
        <v>1</v>
      </c>
      <c r="P48" s="362"/>
      <c r="Q48" s="372"/>
      <c r="R48" s="362"/>
    </row>
    <row r="49" spans="1:18" ht="15.6">
      <c r="A49" s="382"/>
      <c r="B49" s="305" t="s">
        <v>82</v>
      </c>
      <c r="C49" s="432">
        <f>COUNTIF(D6:D37,"&gt;=89.1")</f>
        <v>0</v>
      </c>
      <c r="D49" s="362"/>
      <c r="E49" s="432">
        <f>COUNTIF(F6:F37,"&gt;=89.1")</f>
        <v>1</v>
      </c>
      <c r="F49" s="362"/>
      <c r="G49" s="432">
        <f>COUNTIF(H6:H37,"&gt;=89.1")</f>
        <v>2</v>
      </c>
      <c r="H49" s="362"/>
      <c r="I49" s="432">
        <f>COUNTIF(J6:J37,"&gt;=89.1")</f>
        <v>2</v>
      </c>
      <c r="J49" s="362"/>
      <c r="K49" s="432">
        <f>COUNTIF(L6:L37,"&gt;=89.1")</f>
        <v>0</v>
      </c>
      <c r="L49" s="362"/>
      <c r="M49" s="432">
        <f>COUNTIF(N6:N37,"&gt;=89.1")</f>
        <v>0</v>
      </c>
      <c r="N49" s="362"/>
      <c r="O49" s="432">
        <f>COUNTIF(P6:P37,"&gt;=89.1")</f>
        <v>0</v>
      </c>
      <c r="P49" s="362"/>
      <c r="Q49" s="433"/>
      <c r="R49" s="362"/>
    </row>
    <row r="50" spans="1:18" ht="15.6">
      <c r="A50" s="448" t="s">
        <v>85</v>
      </c>
      <c r="B50" s="371"/>
      <c r="C50" s="306" t="s">
        <v>773</v>
      </c>
      <c r="D50" s="51"/>
      <c r="E50" s="51"/>
      <c r="F50" s="51"/>
      <c r="G50" s="51"/>
      <c r="H50" s="302" t="str">
        <f t="shared" ref="H50:H51" si="9">IF($B50="","",IF(G50=""," ",IF(G50="AB","AB",(G50/$H$5)*100)))</f>
        <v/>
      </c>
      <c r="I50" s="51"/>
      <c r="J50" s="302" t="str">
        <f t="shared" ref="J50:J51" si="10">IF($B50="","",IF(I50=""," ",IF(I50="AB","AB",(I50/$J$5)*100)))</f>
        <v/>
      </c>
      <c r="K50" s="51"/>
      <c r="L50" s="302" t="str">
        <f t="shared" ref="L50:L51" si="11">IF($B50="","",IF(K50=""," ",IF(K50="AB","AB",(K50/$L$5)*100)))</f>
        <v/>
      </c>
      <c r="M50" s="306" t="s">
        <v>86</v>
      </c>
      <c r="N50" s="51"/>
      <c r="O50" s="264"/>
      <c r="P50" s="302" t="str">
        <f t="shared" ref="P50:P51" si="12">IF($B50="","",IF(O50=""," ",IF(O50="AB","AB",(O50/$P$5)*100)))</f>
        <v/>
      </c>
      <c r="Q50" s="51"/>
      <c r="R50" s="307"/>
    </row>
    <row r="51" spans="1:18" ht="14.4">
      <c r="A51" s="417"/>
      <c r="B51" s="360"/>
      <c r="C51" s="105"/>
      <c r="D51" s="308"/>
      <c r="E51" s="308"/>
      <c r="F51" s="308"/>
      <c r="G51" s="308"/>
      <c r="H51" s="302" t="str">
        <f t="shared" si="9"/>
        <v/>
      </c>
      <c r="I51" s="308"/>
      <c r="J51" s="302" t="str">
        <f t="shared" si="10"/>
        <v/>
      </c>
      <c r="K51" s="308"/>
      <c r="L51" s="302" t="str">
        <f t="shared" si="11"/>
        <v/>
      </c>
      <c r="M51" s="105"/>
      <c r="N51" s="308"/>
      <c r="O51" s="309"/>
      <c r="P51" s="302" t="str">
        <f t="shared" si="12"/>
        <v/>
      </c>
      <c r="Q51" s="308"/>
      <c r="R51" s="310"/>
    </row>
    <row r="52" spans="1:18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84"/>
      <c r="P52" s="1"/>
      <c r="Q52" s="1"/>
      <c r="R52" s="1"/>
    </row>
    <row r="53" spans="1:18" ht="13.2">
      <c r="O53" s="85"/>
    </row>
    <row r="54" spans="1:18" ht="13.2">
      <c r="O54" s="85"/>
    </row>
    <row r="55" spans="1:18" ht="13.2">
      <c r="O55" s="85"/>
    </row>
    <row r="56" spans="1:18" ht="13.2">
      <c r="O56" s="85"/>
    </row>
    <row r="57" spans="1:18" ht="13.2">
      <c r="O57" s="85"/>
    </row>
    <row r="58" spans="1:18" ht="13.2">
      <c r="O58" s="85"/>
    </row>
    <row r="59" spans="1:18" ht="13.2">
      <c r="O59" s="85"/>
    </row>
    <row r="60" spans="1:18" ht="13.2">
      <c r="O60" s="85"/>
    </row>
    <row r="61" spans="1:18" ht="13.2">
      <c r="O61" s="85"/>
    </row>
    <row r="62" spans="1:18" ht="13.2">
      <c r="O62" s="85"/>
    </row>
    <row r="63" spans="1:18" ht="13.2">
      <c r="O63" s="85"/>
    </row>
    <row r="64" spans="1:18" ht="13.2">
      <c r="O64" s="85"/>
    </row>
    <row r="65" spans="15:15" ht="13.2">
      <c r="O65" s="85"/>
    </row>
    <row r="66" spans="15:15" ht="13.2">
      <c r="O66" s="85"/>
    </row>
    <row r="67" spans="15:15" ht="13.2">
      <c r="O67" s="85"/>
    </row>
    <row r="68" spans="15:15" ht="13.2">
      <c r="O68" s="85"/>
    </row>
    <row r="69" spans="15:15" ht="13.2">
      <c r="O69" s="85"/>
    </row>
    <row r="70" spans="15:15" ht="13.2">
      <c r="O70" s="85"/>
    </row>
    <row r="71" spans="15:15" ht="13.2">
      <c r="O71" s="85"/>
    </row>
    <row r="72" spans="15:15" ht="13.2">
      <c r="O72" s="85"/>
    </row>
    <row r="73" spans="15:15" ht="13.2">
      <c r="O73" s="85"/>
    </row>
    <row r="74" spans="15:15" ht="13.2">
      <c r="O74" s="85"/>
    </row>
    <row r="75" spans="15:15" ht="13.2">
      <c r="O75" s="85"/>
    </row>
    <row r="76" spans="15:15" ht="13.2">
      <c r="O76" s="85"/>
    </row>
    <row r="77" spans="15:15" ht="13.2">
      <c r="O77" s="85"/>
    </row>
    <row r="78" spans="15:15" ht="13.2">
      <c r="O78" s="85"/>
    </row>
    <row r="79" spans="15:15" ht="13.2">
      <c r="O79" s="85"/>
    </row>
    <row r="80" spans="15:15" ht="13.2">
      <c r="O80" s="85"/>
    </row>
    <row r="81" spans="15:15" ht="13.2">
      <c r="O81" s="85"/>
    </row>
    <row r="82" spans="15:15" ht="13.2">
      <c r="O82" s="85"/>
    </row>
    <row r="83" spans="15:15" ht="13.2">
      <c r="O83" s="85"/>
    </row>
    <row r="84" spans="15:15" ht="13.2">
      <c r="O84" s="85"/>
    </row>
    <row r="85" spans="15:15" ht="13.2">
      <c r="O85" s="85"/>
    </row>
    <row r="86" spans="15:15" ht="13.2">
      <c r="O86" s="85"/>
    </row>
    <row r="87" spans="15:15" ht="13.2">
      <c r="O87" s="85"/>
    </row>
    <row r="88" spans="15:15" ht="13.2">
      <c r="O88" s="85"/>
    </row>
    <row r="89" spans="15:15" ht="13.2">
      <c r="O89" s="85"/>
    </row>
    <row r="90" spans="15:15" ht="13.2">
      <c r="O90" s="85"/>
    </row>
    <row r="91" spans="15:15" ht="13.2">
      <c r="O91" s="85"/>
    </row>
    <row r="92" spans="15:15" ht="13.2">
      <c r="O92" s="85"/>
    </row>
    <row r="93" spans="15:15" ht="13.2">
      <c r="O93" s="85"/>
    </row>
    <row r="94" spans="15:15" ht="13.2">
      <c r="O94" s="85"/>
    </row>
    <row r="95" spans="15:15" ht="13.2">
      <c r="O95" s="85"/>
    </row>
    <row r="96" spans="15:15" ht="13.2">
      <c r="O96" s="85"/>
    </row>
    <row r="97" spans="15:15" ht="13.2">
      <c r="O97" s="85"/>
    </row>
    <row r="98" spans="15:15" ht="13.2">
      <c r="O98" s="85"/>
    </row>
    <row r="99" spans="15:15" ht="13.2">
      <c r="O99" s="85"/>
    </row>
    <row r="100" spans="15:15" ht="13.2">
      <c r="O100" s="85"/>
    </row>
    <row r="101" spans="15:15" ht="13.2">
      <c r="O101" s="85"/>
    </row>
    <row r="102" spans="15:15" ht="13.2">
      <c r="O102" s="85"/>
    </row>
    <row r="103" spans="15:15" ht="13.2">
      <c r="O103" s="85"/>
    </row>
    <row r="104" spans="15:15" ht="13.2">
      <c r="O104" s="85"/>
    </row>
    <row r="105" spans="15:15" ht="13.2">
      <c r="O105" s="85"/>
    </row>
    <row r="106" spans="15:15" ht="13.2">
      <c r="O106" s="85"/>
    </row>
    <row r="107" spans="15:15" ht="13.2">
      <c r="O107" s="85"/>
    </row>
    <row r="108" spans="15:15" ht="13.2">
      <c r="O108" s="85"/>
    </row>
    <row r="109" spans="15:15" ht="13.2">
      <c r="O109" s="85"/>
    </row>
    <row r="110" spans="15:15" ht="13.2">
      <c r="O110" s="85"/>
    </row>
    <row r="111" spans="15:15" ht="13.2">
      <c r="O111" s="85"/>
    </row>
    <row r="112" spans="15:15" ht="13.2">
      <c r="O112" s="85"/>
    </row>
    <row r="113" spans="15:15" ht="13.2">
      <c r="O113" s="85"/>
    </row>
    <row r="114" spans="15:15" ht="13.2">
      <c r="O114" s="85"/>
    </row>
    <row r="115" spans="15:15" ht="13.2">
      <c r="O115" s="85"/>
    </row>
    <row r="116" spans="15:15" ht="13.2">
      <c r="O116" s="85"/>
    </row>
    <row r="117" spans="15:15" ht="13.2">
      <c r="O117" s="85"/>
    </row>
    <row r="118" spans="15:15" ht="13.2">
      <c r="O118" s="85"/>
    </row>
    <row r="119" spans="15:15" ht="13.2">
      <c r="O119" s="85"/>
    </row>
    <row r="120" spans="15:15" ht="13.2">
      <c r="O120" s="85"/>
    </row>
    <row r="121" spans="15:15" ht="13.2">
      <c r="O121" s="85"/>
    </row>
    <row r="122" spans="15:15" ht="13.2">
      <c r="O122" s="85"/>
    </row>
    <row r="123" spans="15:15" ht="13.2">
      <c r="O123" s="85"/>
    </row>
    <row r="124" spans="15:15" ht="13.2">
      <c r="O124" s="85"/>
    </row>
    <row r="125" spans="15:15" ht="13.2">
      <c r="O125" s="85"/>
    </row>
    <row r="126" spans="15:15" ht="13.2">
      <c r="O126" s="85"/>
    </row>
    <row r="127" spans="15:15" ht="13.2">
      <c r="O127" s="85"/>
    </row>
    <row r="128" spans="15:15" ht="13.2">
      <c r="O128" s="85"/>
    </row>
    <row r="129" spans="15:15" ht="13.2">
      <c r="O129" s="85"/>
    </row>
    <row r="130" spans="15:15" ht="13.2">
      <c r="O130" s="85"/>
    </row>
    <row r="131" spans="15:15" ht="13.2">
      <c r="O131" s="85"/>
    </row>
    <row r="132" spans="15:15" ht="13.2">
      <c r="O132" s="85"/>
    </row>
    <row r="133" spans="15:15" ht="13.2">
      <c r="O133" s="85"/>
    </row>
    <row r="134" spans="15:15" ht="13.2">
      <c r="O134" s="85"/>
    </row>
    <row r="135" spans="15:15" ht="13.2">
      <c r="O135" s="85"/>
    </row>
    <row r="136" spans="15:15" ht="13.2">
      <c r="O136" s="85"/>
    </row>
    <row r="137" spans="15:15" ht="13.2">
      <c r="O137" s="85"/>
    </row>
    <row r="138" spans="15:15" ht="13.2">
      <c r="O138" s="85"/>
    </row>
    <row r="139" spans="15:15" ht="13.2">
      <c r="O139" s="85"/>
    </row>
    <row r="140" spans="15:15" ht="13.2">
      <c r="O140" s="85"/>
    </row>
    <row r="141" spans="15:15" ht="13.2">
      <c r="O141" s="85"/>
    </row>
    <row r="142" spans="15:15" ht="13.2">
      <c r="O142" s="85"/>
    </row>
    <row r="143" spans="15:15" ht="13.2">
      <c r="O143" s="85"/>
    </row>
    <row r="144" spans="15:15" ht="13.2">
      <c r="O144" s="85"/>
    </row>
    <row r="145" spans="15:15" ht="13.2">
      <c r="O145" s="85"/>
    </row>
    <row r="146" spans="15:15" ht="13.2">
      <c r="O146" s="85"/>
    </row>
    <row r="147" spans="15:15" ht="13.2">
      <c r="O147" s="85"/>
    </row>
    <row r="148" spans="15:15" ht="13.2">
      <c r="O148" s="85"/>
    </row>
    <row r="149" spans="15:15" ht="13.2">
      <c r="O149" s="85"/>
    </row>
    <row r="150" spans="15:15" ht="13.2">
      <c r="O150" s="85"/>
    </row>
    <row r="151" spans="15:15" ht="13.2">
      <c r="O151" s="85"/>
    </row>
    <row r="152" spans="15:15" ht="13.2">
      <c r="O152" s="85"/>
    </row>
    <row r="153" spans="15:15" ht="13.2">
      <c r="O153" s="85"/>
    </row>
    <row r="154" spans="15:15" ht="13.2">
      <c r="O154" s="85"/>
    </row>
    <row r="155" spans="15:15" ht="13.2">
      <c r="O155" s="85"/>
    </row>
    <row r="156" spans="15:15" ht="13.2">
      <c r="O156" s="85"/>
    </row>
    <row r="157" spans="15:15" ht="13.2">
      <c r="O157" s="85"/>
    </row>
    <row r="158" spans="15:15" ht="13.2">
      <c r="O158" s="85"/>
    </row>
    <row r="159" spans="15:15" ht="13.2">
      <c r="O159" s="85"/>
    </row>
    <row r="160" spans="15:15" ht="13.2">
      <c r="O160" s="85"/>
    </row>
    <row r="161" spans="15:15" ht="13.2">
      <c r="O161" s="85"/>
    </row>
    <row r="162" spans="15:15" ht="13.2">
      <c r="O162" s="85"/>
    </row>
    <row r="163" spans="15:15" ht="13.2">
      <c r="O163" s="85"/>
    </row>
    <row r="164" spans="15:15" ht="13.2">
      <c r="O164" s="85"/>
    </row>
    <row r="165" spans="15:15" ht="13.2">
      <c r="O165" s="85"/>
    </row>
    <row r="166" spans="15:15" ht="13.2">
      <c r="O166" s="85"/>
    </row>
    <row r="167" spans="15:15" ht="13.2">
      <c r="O167" s="85"/>
    </row>
    <row r="168" spans="15:15" ht="13.2">
      <c r="O168" s="85"/>
    </row>
    <row r="169" spans="15:15" ht="13.2">
      <c r="O169" s="85"/>
    </row>
    <row r="170" spans="15:15" ht="13.2">
      <c r="O170" s="85"/>
    </row>
    <row r="171" spans="15:15" ht="13.2">
      <c r="O171" s="85"/>
    </row>
    <row r="172" spans="15:15" ht="13.2">
      <c r="O172" s="85"/>
    </row>
    <row r="173" spans="15:15" ht="13.2">
      <c r="O173" s="85"/>
    </row>
    <row r="174" spans="15:15" ht="13.2">
      <c r="O174" s="85"/>
    </row>
    <row r="175" spans="15:15" ht="13.2">
      <c r="O175" s="85"/>
    </row>
    <row r="176" spans="15:15" ht="13.2">
      <c r="O176" s="85"/>
    </row>
    <row r="177" spans="15:15" ht="13.2">
      <c r="O177" s="85"/>
    </row>
    <row r="178" spans="15:15" ht="13.2">
      <c r="O178" s="85"/>
    </row>
    <row r="179" spans="15:15" ht="13.2">
      <c r="O179" s="85"/>
    </row>
    <row r="180" spans="15:15" ht="13.2">
      <c r="O180" s="85"/>
    </row>
    <row r="181" spans="15:15" ht="13.2">
      <c r="O181" s="85"/>
    </row>
    <row r="182" spans="15:15" ht="13.2">
      <c r="O182" s="85"/>
    </row>
    <row r="183" spans="15:15" ht="13.2">
      <c r="O183" s="85"/>
    </row>
    <row r="184" spans="15:15" ht="13.2">
      <c r="O184" s="85"/>
    </row>
    <row r="185" spans="15:15" ht="13.2">
      <c r="O185" s="85"/>
    </row>
    <row r="186" spans="15:15" ht="13.2">
      <c r="O186" s="85"/>
    </row>
    <row r="187" spans="15:15" ht="13.2">
      <c r="O187" s="85"/>
    </row>
    <row r="188" spans="15:15" ht="13.2">
      <c r="O188" s="85"/>
    </row>
    <row r="189" spans="15:15" ht="13.2">
      <c r="O189" s="85"/>
    </row>
    <row r="190" spans="15:15" ht="13.2">
      <c r="O190" s="85"/>
    </row>
    <row r="191" spans="15:15" ht="13.2">
      <c r="O191" s="85"/>
    </row>
    <row r="192" spans="15:15" ht="13.2">
      <c r="O192" s="85"/>
    </row>
    <row r="193" spans="15:15" ht="13.2">
      <c r="O193" s="85"/>
    </row>
    <row r="194" spans="15:15" ht="13.2">
      <c r="O194" s="85"/>
    </row>
    <row r="195" spans="15:15" ht="13.2">
      <c r="O195" s="85"/>
    </row>
    <row r="196" spans="15:15" ht="13.2">
      <c r="O196" s="85"/>
    </row>
    <row r="197" spans="15:15" ht="13.2">
      <c r="O197" s="85"/>
    </row>
    <row r="198" spans="15:15" ht="13.2">
      <c r="O198" s="85"/>
    </row>
    <row r="199" spans="15:15" ht="13.2">
      <c r="O199" s="85"/>
    </row>
    <row r="200" spans="15:15" ht="13.2">
      <c r="O200" s="85"/>
    </row>
    <row r="201" spans="15:15" ht="13.2">
      <c r="O201" s="85"/>
    </row>
    <row r="202" spans="15:15" ht="13.2">
      <c r="O202" s="85"/>
    </row>
    <row r="203" spans="15:15" ht="13.2">
      <c r="O203" s="85"/>
    </row>
    <row r="204" spans="15:15" ht="13.2">
      <c r="O204" s="85"/>
    </row>
    <row r="205" spans="15:15" ht="13.2">
      <c r="O205" s="85"/>
    </row>
    <row r="206" spans="15:15" ht="13.2">
      <c r="O206" s="85"/>
    </row>
    <row r="207" spans="15:15" ht="13.2">
      <c r="O207" s="85"/>
    </row>
    <row r="208" spans="15:15" ht="13.2">
      <c r="O208" s="85"/>
    </row>
    <row r="209" spans="15:15" ht="13.2">
      <c r="O209" s="85"/>
    </row>
    <row r="210" spans="15:15" ht="13.2">
      <c r="O210" s="85"/>
    </row>
    <row r="211" spans="15:15" ht="13.2">
      <c r="O211" s="85"/>
    </row>
    <row r="212" spans="15:15" ht="13.2">
      <c r="O212" s="85"/>
    </row>
    <row r="213" spans="15:15" ht="13.2">
      <c r="O213" s="85"/>
    </row>
    <row r="214" spans="15:15" ht="13.2">
      <c r="O214" s="85"/>
    </row>
    <row r="215" spans="15:15" ht="13.2">
      <c r="O215" s="85"/>
    </row>
    <row r="216" spans="15:15" ht="13.2">
      <c r="O216" s="85"/>
    </row>
    <row r="217" spans="15:15" ht="13.2">
      <c r="O217" s="85"/>
    </row>
    <row r="218" spans="15:15" ht="13.2">
      <c r="O218" s="85"/>
    </row>
    <row r="219" spans="15:15" ht="13.2">
      <c r="O219" s="85"/>
    </row>
    <row r="220" spans="15:15" ht="13.2">
      <c r="O220" s="85"/>
    </row>
    <row r="221" spans="15:15" ht="13.2">
      <c r="O221" s="85"/>
    </row>
    <row r="222" spans="15:15" ht="13.2">
      <c r="O222" s="85"/>
    </row>
    <row r="223" spans="15:15" ht="13.2">
      <c r="O223" s="85"/>
    </row>
    <row r="224" spans="15:15" ht="13.2">
      <c r="O224" s="85"/>
    </row>
    <row r="225" spans="15:15" ht="13.2">
      <c r="O225" s="85"/>
    </row>
    <row r="226" spans="15:15" ht="13.2">
      <c r="O226" s="85"/>
    </row>
    <row r="227" spans="15:15" ht="13.2">
      <c r="O227" s="85"/>
    </row>
    <row r="228" spans="15:15" ht="13.2">
      <c r="O228" s="85"/>
    </row>
    <row r="229" spans="15:15" ht="13.2">
      <c r="O229" s="85"/>
    </row>
    <row r="230" spans="15:15" ht="13.2">
      <c r="O230" s="85"/>
    </row>
    <row r="231" spans="15:15" ht="13.2">
      <c r="O231" s="85"/>
    </row>
    <row r="232" spans="15:15" ht="13.2">
      <c r="O232" s="85"/>
    </row>
    <row r="233" spans="15:15" ht="13.2">
      <c r="O233" s="85"/>
    </row>
    <row r="234" spans="15:15" ht="13.2">
      <c r="O234" s="85"/>
    </row>
    <row r="235" spans="15:15" ht="13.2">
      <c r="O235" s="85"/>
    </row>
    <row r="236" spans="15:15" ht="13.2">
      <c r="O236" s="85"/>
    </row>
    <row r="237" spans="15:15" ht="13.2">
      <c r="O237" s="85"/>
    </row>
    <row r="238" spans="15:15" ht="13.2">
      <c r="O238" s="85"/>
    </row>
    <row r="239" spans="15:15" ht="13.2">
      <c r="O239" s="85"/>
    </row>
    <row r="240" spans="15:15" ht="13.2">
      <c r="O240" s="85"/>
    </row>
    <row r="241" spans="15:15" ht="13.2">
      <c r="O241" s="85"/>
    </row>
    <row r="242" spans="15:15" ht="13.2">
      <c r="O242" s="85"/>
    </row>
    <row r="243" spans="15:15" ht="13.2">
      <c r="O243" s="85"/>
    </row>
    <row r="244" spans="15:15" ht="13.2">
      <c r="O244" s="85"/>
    </row>
    <row r="245" spans="15:15" ht="13.2">
      <c r="O245" s="85"/>
    </row>
    <row r="246" spans="15:15" ht="13.2">
      <c r="O246" s="85"/>
    </row>
    <row r="247" spans="15:15" ht="13.2">
      <c r="O247" s="85"/>
    </row>
    <row r="248" spans="15:15" ht="13.2">
      <c r="O248" s="85"/>
    </row>
    <row r="249" spans="15:15" ht="13.2">
      <c r="O249" s="85"/>
    </row>
    <row r="250" spans="15:15" ht="13.2">
      <c r="O250" s="85"/>
    </row>
    <row r="251" spans="15:15" ht="13.2">
      <c r="O251" s="85"/>
    </row>
    <row r="252" spans="15:15" ht="13.2">
      <c r="O252" s="85"/>
    </row>
    <row r="253" spans="15:15" ht="13.2">
      <c r="O253" s="85"/>
    </row>
    <row r="254" spans="15:15" ht="13.2">
      <c r="O254" s="85"/>
    </row>
    <row r="255" spans="15:15" ht="13.2">
      <c r="O255" s="85"/>
    </row>
    <row r="256" spans="15:15" ht="13.2">
      <c r="O256" s="85"/>
    </row>
    <row r="257" spans="15:15" ht="13.2">
      <c r="O257" s="85"/>
    </row>
    <row r="258" spans="15:15" ht="13.2">
      <c r="O258" s="85"/>
    </row>
    <row r="259" spans="15:15" ht="13.2">
      <c r="O259" s="85"/>
    </row>
    <row r="260" spans="15:15" ht="13.2">
      <c r="O260" s="85"/>
    </row>
    <row r="261" spans="15:15" ht="13.2">
      <c r="O261" s="85"/>
    </row>
    <row r="262" spans="15:15" ht="13.2">
      <c r="O262" s="85"/>
    </row>
    <row r="263" spans="15:15" ht="13.2">
      <c r="O263" s="85"/>
    </row>
    <row r="264" spans="15:15" ht="13.2">
      <c r="O264" s="85"/>
    </row>
    <row r="265" spans="15:15" ht="13.2">
      <c r="O265" s="85"/>
    </row>
    <row r="266" spans="15:15" ht="13.2">
      <c r="O266" s="85"/>
    </row>
    <row r="267" spans="15:15" ht="13.2">
      <c r="O267" s="85"/>
    </row>
    <row r="268" spans="15:15" ht="13.2">
      <c r="O268" s="85"/>
    </row>
    <row r="269" spans="15:15" ht="13.2">
      <c r="O269" s="85"/>
    </row>
    <row r="270" spans="15:15" ht="13.2">
      <c r="O270" s="85"/>
    </row>
    <row r="271" spans="15:15" ht="13.2">
      <c r="O271" s="85"/>
    </row>
    <row r="272" spans="15:15" ht="13.2">
      <c r="O272" s="85"/>
    </row>
    <row r="273" spans="15:15" ht="13.2">
      <c r="O273" s="85"/>
    </row>
    <row r="274" spans="15:15" ht="13.2">
      <c r="O274" s="85"/>
    </row>
    <row r="275" spans="15:15" ht="13.2">
      <c r="O275" s="85"/>
    </row>
    <row r="276" spans="15:15" ht="13.2">
      <c r="O276" s="85"/>
    </row>
    <row r="277" spans="15:15" ht="13.2">
      <c r="O277" s="85"/>
    </row>
    <row r="278" spans="15:15" ht="13.2">
      <c r="O278" s="85"/>
    </row>
    <row r="279" spans="15:15" ht="13.2">
      <c r="O279" s="85"/>
    </row>
    <row r="280" spans="15:15" ht="13.2">
      <c r="O280" s="85"/>
    </row>
    <row r="281" spans="15:15" ht="13.2">
      <c r="O281" s="85"/>
    </row>
    <row r="282" spans="15:15" ht="13.2">
      <c r="O282" s="85"/>
    </row>
    <row r="283" spans="15:15" ht="13.2">
      <c r="O283" s="85"/>
    </row>
    <row r="284" spans="15:15" ht="13.2">
      <c r="O284" s="85"/>
    </row>
    <row r="285" spans="15:15" ht="13.2">
      <c r="O285" s="85"/>
    </row>
    <row r="286" spans="15:15" ht="13.2">
      <c r="O286" s="85"/>
    </row>
    <row r="287" spans="15:15" ht="13.2">
      <c r="O287" s="85"/>
    </row>
    <row r="288" spans="15:15" ht="13.2">
      <c r="O288" s="85"/>
    </row>
    <row r="289" spans="15:15" ht="13.2">
      <c r="O289" s="85"/>
    </row>
    <row r="290" spans="15:15" ht="13.2">
      <c r="O290" s="85"/>
    </row>
    <row r="291" spans="15:15" ht="13.2">
      <c r="O291" s="85"/>
    </row>
    <row r="292" spans="15:15" ht="13.2">
      <c r="O292" s="85"/>
    </row>
    <row r="293" spans="15:15" ht="13.2">
      <c r="O293" s="85"/>
    </row>
    <row r="294" spans="15:15" ht="13.2">
      <c r="O294" s="85"/>
    </row>
    <row r="295" spans="15:15" ht="13.2">
      <c r="O295" s="85"/>
    </row>
    <row r="296" spans="15:15" ht="13.2">
      <c r="O296" s="85"/>
    </row>
    <row r="297" spans="15:15" ht="13.2">
      <c r="O297" s="85"/>
    </row>
    <row r="298" spans="15:15" ht="13.2">
      <c r="O298" s="85"/>
    </row>
    <row r="299" spans="15:15" ht="13.2">
      <c r="O299" s="85"/>
    </row>
    <row r="300" spans="15:15" ht="13.2">
      <c r="O300" s="85"/>
    </row>
    <row r="301" spans="15:15" ht="13.2">
      <c r="O301" s="85"/>
    </row>
    <row r="302" spans="15:15" ht="13.2">
      <c r="O302" s="85"/>
    </row>
    <row r="303" spans="15:15" ht="13.2">
      <c r="O303" s="85"/>
    </row>
    <row r="304" spans="15:15" ht="13.2">
      <c r="O304" s="85"/>
    </row>
    <row r="305" spans="15:15" ht="13.2">
      <c r="O305" s="85"/>
    </row>
    <row r="306" spans="15:15" ht="13.2">
      <c r="O306" s="85"/>
    </row>
    <row r="307" spans="15:15" ht="13.2">
      <c r="O307" s="85"/>
    </row>
    <row r="308" spans="15:15" ht="13.2">
      <c r="O308" s="85"/>
    </row>
    <row r="309" spans="15:15" ht="13.2">
      <c r="O309" s="85"/>
    </row>
    <row r="310" spans="15:15" ht="13.2">
      <c r="O310" s="85"/>
    </row>
    <row r="311" spans="15:15" ht="13.2">
      <c r="O311" s="85"/>
    </row>
    <row r="312" spans="15:15" ht="13.2">
      <c r="O312" s="85"/>
    </row>
    <row r="313" spans="15:15" ht="13.2">
      <c r="O313" s="85"/>
    </row>
    <row r="314" spans="15:15" ht="13.2">
      <c r="O314" s="85"/>
    </row>
    <row r="315" spans="15:15" ht="13.2">
      <c r="O315" s="85"/>
    </row>
    <row r="316" spans="15:15" ht="13.2">
      <c r="O316" s="85"/>
    </row>
    <row r="317" spans="15:15" ht="13.2">
      <c r="O317" s="85"/>
    </row>
    <row r="318" spans="15:15" ht="13.2">
      <c r="O318" s="85"/>
    </row>
    <row r="319" spans="15:15" ht="13.2">
      <c r="O319" s="85"/>
    </row>
    <row r="320" spans="15:15" ht="13.2">
      <c r="O320" s="85"/>
    </row>
    <row r="321" spans="15:15" ht="13.2">
      <c r="O321" s="85"/>
    </row>
    <row r="322" spans="15:15" ht="13.2">
      <c r="O322" s="85"/>
    </row>
    <row r="323" spans="15:15" ht="13.2">
      <c r="O323" s="85"/>
    </row>
    <row r="324" spans="15:15" ht="13.2">
      <c r="O324" s="85"/>
    </row>
    <row r="325" spans="15:15" ht="13.2">
      <c r="O325" s="85"/>
    </row>
    <row r="326" spans="15:15" ht="13.2">
      <c r="O326" s="85"/>
    </row>
    <row r="327" spans="15:15" ht="13.2">
      <c r="O327" s="85"/>
    </row>
    <row r="328" spans="15:15" ht="13.2">
      <c r="O328" s="85"/>
    </row>
    <row r="329" spans="15:15" ht="13.2">
      <c r="O329" s="85"/>
    </row>
    <row r="330" spans="15:15" ht="13.2">
      <c r="O330" s="85"/>
    </row>
    <row r="331" spans="15:15" ht="13.2">
      <c r="O331" s="85"/>
    </row>
    <row r="332" spans="15:15" ht="13.2">
      <c r="O332" s="85"/>
    </row>
    <row r="333" spans="15:15" ht="13.2">
      <c r="O333" s="85"/>
    </row>
    <row r="334" spans="15:15" ht="13.2">
      <c r="O334" s="85"/>
    </row>
    <row r="335" spans="15:15" ht="13.2">
      <c r="O335" s="85"/>
    </row>
    <row r="336" spans="15:15" ht="13.2">
      <c r="O336" s="85"/>
    </row>
    <row r="337" spans="15:15" ht="13.2">
      <c r="O337" s="85"/>
    </row>
    <row r="338" spans="15:15" ht="13.2">
      <c r="O338" s="85"/>
    </row>
    <row r="339" spans="15:15" ht="13.2">
      <c r="O339" s="85"/>
    </row>
    <row r="340" spans="15:15" ht="13.2">
      <c r="O340" s="85"/>
    </row>
    <row r="341" spans="15:15" ht="13.2">
      <c r="O341" s="85"/>
    </row>
    <row r="342" spans="15:15" ht="13.2">
      <c r="O342" s="85"/>
    </row>
    <row r="343" spans="15:15" ht="13.2">
      <c r="O343" s="85"/>
    </row>
    <row r="344" spans="15:15" ht="13.2">
      <c r="O344" s="85"/>
    </row>
    <row r="345" spans="15:15" ht="13.2">
      <c r="O345" s="85"/>
    </row>
    <row r="346" spans="15:15" ht="13.2">
      <c r="O346" s="85"/>
    </row>
    <row r="347" spans="15:15" ht="13.2">
      <c r="O347" s="85"/>
    </row>
    <row r="348" spans="15:15" ht="13.2">
      <c r="O348" s="85"/>
    </row>
    <row r="349" spans="15:15" ht="13.2">
      <c r="O349" s="85"/>
    </row>
    <row r="350" spans="15:15" ht="13.2">
      <c r="O350" s="85"/>
    </row>
    <row r="351" spans="15:15" ht="13.2">
      <c r="O351" s="85"/>
    </row>
    <row r="352" spans="15:15" ht="13.2">
      <c r="O352" s="85"/>
    </row>
    <row r="353" spans="15:15" ht="13.2">
      <c r="O353" s="85"/>
    </row>
    <row r="354" spans="15:15" ht="13.2">
      <c r="O354" s="85"/>
    </row>
    <row r="355" spans="15:15" ht="13.2">
      <c r="O355" s="85"/>
    </row>
    <row r="356" spans="15:15" ht="13.2">
      <c r="O356" s="85"/>
    </row>
    <row r="357" spans="15:15" ht="13.2">
      <c r="O357" s="85"/>
    </row>
    <row r="358" spans="15:15" ht="13.2">
      <c r="O358" s="85"/>
    </row>
    <row r="359" spans="15:15" ht="13.2">
      <c r="O359" s="85"/>
    </row>
    <row r="360" spans="15:15" ht="13.2">
      <c r="O360" s="85"/>
    </row>
    <row r="361" spans="15:15" ht="13.2">
      <c r="O361" s="85"/>
    </row>
    <row r="362" spans="15:15" ht="13.2">
      <c r="O362" s="85"/>
    </row>
    <row r="363" spans="15:15" ht="13.2">
      <c r="O363" s="85"/>
    </row>
    <row r="364" spans="15:15" ht="13.2">
      <c r="O364" s="85"/>
    </row>
    <row r="365" spans="15:15" ht="13.2">
      <c r="O365" s="85"/>
    </row>
    <row r="366" spans="15:15" ht="13.2">
      <c r="O366" s="85"/>
    </row>
    <row r="367" spans="15:15" ht="13.2">
      <c r="O367" s="85"/>
    </row>
    <row r="368" spans="15:15" ht="13.2">
      <c r="O368" s="85"/>
    </row>
    <row r="369" spans="15:15" ht="13.2">
      <c r="O369" s="85"/>
    </row>
    <row r="370" spans="15:15" ht="13.2">
      <c r="O370" s="85"/>
    </row>
    <row r="371" spans="15:15" ht="13.2">
      <c r="O371" s="85"/>
    </row>
    <row r="372" spans="15:15" ht="13.2">
      <c r="O372" s="85"/>
    </row>
    <row r="373" spans="15:15" ht="13.2">
      <c r="O373" s="85"/>
    </row>
    <row r="374" spans="15:15" ht="13.2">
      <c r="O374" s="85"/>
    </row>
    <row r="375" spans="15:15" ht="13.2">
      <c r="O375" s="85"/>
    </row>
    <row r="376" spans="15:15" ht="13.2">
      <c r="O376" s="85"/>
    </row>
    <row r="377" spans="15:15" ht="13.2">
      <c r="O377" s="85"/>
    </row>
    <row r="378" spans="15:15" ht="13.2">
      <c r="O378" s="85"/>
    </row>
    <row r="379" spans="15:15" ht="13.2">
      <c r="O379" s="85"/>
    </row>
    <row r="380" spans="15:15" ht="13.2">
      <c r="O380" s="85"/>
    </row>
    <row r="381" spans="15:15" ht="13.2">
      <c r="O381" s="85"/>
    </row>
    <row r="382" spans="15:15" ht="13.2">
      <c r="O382" s="85"/>
    </row>
    <row r="383" spans="15:15" ht="13.2">
      <c r="O383" s="85"/>
    </row>
    <row r="384" spans="15:15" ht="13.2">
      <c r="O384" s="85"/>
    </row>
    <row r="385" spans="15:15" ht="13.2">
      <c r="O385" s="85"/>
    </row>
    <row r="386" spans="15:15" ht="13.2">
      <c r="O386" s="85"/>
    </row>
    <row r="387" spans="15:15" ht="13.2">
      <c r="O387" s="85"/>
    </row>
    <row r="388" spans="15:15" ht="13.2">
      <c r="O388" s="85"/>
    </row>
    <row r="389" spans="15:15" ht="13.2">
      <c r="O389" s="85"/>
    </row>
    <row r="390" spans="15:15" ht="13.2">
      <c r="O390" s="85"/>
    </row>
    <row r="391" spans="15:15" ht="13.2">
      <c r="O391" s="85"/>
    </row>
    <row r="392" spans="15:15" ht="13.2">
      <c r="O392" s="85"/>
    </row>
    <row r="393" spans="15:15" ht="13.2">
      <c r="O393" s="85"/>
    </row>
    <row r="394" spans="15:15" ht="13.2">
      <c r="O394" s="85"/>
    </row>
    <row r="395" spans="15:15" ht="13.2">
      <c r="O395" s="85"/>
    </row>
    <row r="396" spans="15:15" ht="13.2">
      <c r="O396" s="85"/>
    </row>
    <row r="397" spans="15:15" ht="13.2">
      <c r="O397" s="85"/>
    </row>
    <row r="398" spans="15:15" ht="13.2">
      <c r="O398" s="85"/>
    </row>
    <row r="399" spans="15:15" ht="13.2">
      <c r="O399" s="85"/>
    </row>
    <row r="400" spans="15:15" ht="13.2">
      <c r="O400" s="85"/>
    </row>
    <row r="401" spans="15:15" ht="13.2">
      <c r="O401" s="85"/>
    </row>
    <row r="402" spans="15:15" ht="13.2">
      <c r="O402" s="85"/>
    </row>
    <row r="403" spans="15:15" ht="13.2">
      <c r="O403" s="85"/>
    </row>
    <row r="404" spans="15:15" ht="13.2">
      <c r="O404" s="85"/>
    </row>
    <row r="405" spans="15:15" ht="13.2">
      <c r="O405" s="85"/>
    </row>
    <row r="406" spans="15:15" ht="13.2">
      <c r="O406" s="85"/>
    </row>
    <row r="407" spans="15:15" ht="13.2">
      <c r="O407" s="85"/>
    </row>
    <row r="408" spans="15:15" ht="13.2">
      <c r="O408" s="85"/>
    </row>
    <row r="409" spans="15:15" ht="13.2">
      <c r="O409" s="85"/>
    </row>
    <row r="410" spans="15:15" ht="13.2">
      <c r="O410" s="85"/>
    </row>
    <row r="411" spans="15:15" ht="13.2">
      <c r="O411" s="85"/>
    </row>
    <row r="412" spans="15:15" ht="13.2">
      <c r="O412" s="85"/>
    </row>
    <row r="413" spans="15:15" ht="13.2">
      <c r="O413" s="85"/>
    </row>
    <row r="414" spans="15:15" ht="13.2">
      <c r="O414" s="85"/>
    </row>
    <row r="415" spans="15:15" ht="13.2">
      <c r="O415" s="85"/>
    </row>
    <row r="416" spans="15:15" ht="13.2">
      <c r="O416" s="85"/>
    </row>
    <row r="417" spans="15:15" ht="13.2">
      <c r="O417" s="85"/>
    </row>
    <row r="418" spans="15:15" ht="13.2">
      <c r="O418" s="85"/>
    </row>
    <row r="419" spans="15:15" ht="13.2">
      <c r="O419" s="85"/>
    </row>
    <row r="420" spans="15:15" ht="13.2">
      <c r="O420" s="85"/>
    </row>
    <row r="421" spans="15:15" ht="13.2">
      <c r="O421" s="85"/>
    </row>
    <row r="422" spans="15:15" ht="13.2">
      <c r="O422" s="85"/>
    </row>
    <row r="423" spans="15:15" ht="13.2">
      <c r="O423" s="85"/>
    </row>
    <row r="424" spans="15:15" ht="13.2">
      <c r="O424" s="85"/>
    </row>
    <row r="425" spans="15:15" ht="13.2">
      <c r="O425" s="85"/>
    </row>
    <row r="426" spans="15:15" ht="13.2">
      <c r="O426" s="85"/>
    </row>
    <row r="427" spans="15:15" ht="13.2">
      <c r="O427" s="85"/>
    </row>
    <row r="428" spans="15:15" ht="13.2">
      <c r="O428" s="85"/>
    </row>
    <row r="429" spans="15:15" ht="13.2">
      <c r="O429" s="85"/>
    </row>
    <row r="430" spans="15:15" ht="13.2">
      <c r="O430" s="85"/>
    </row>
    <row r="431" spans="15:15" ht="13.2">
      <c r="O431" s="85"/>
    </row>
    <row r="432" spans="15:15" ht="13.2">
      <c r="O432" s="85"/>
    </row>
    <row r="433" spans="15:15" ht="13.2">
      <c r="O433" s="85"/>
    </row>
    <row r="434" spans="15:15" ht="13.2">
      <c r="O434" s="85"/>
    </row>
    <row r="435" spans="15:15" ht="13.2">
      <c r="O435" s="85"/>
    </row>
    <row r="436" spans="15:15" ht="13.2">
      <c r="O436" s="85"/>
    </row>
    <row r="437" spans="15:15" ht="13.2">
      <c r="O437" s="85"/>
    </row>
    <row r="438" spans="15:15" ht="13.2">
      <c r="O438" s="85"/>
    </row>
    <row r="439" spans="15:15" ht="13.2">
      <c r="O439" s="85"/>
    </row>
    <row r="440" spans="15:15" ht="13.2">
      <c r="O440" s="85"/>
    </row>
    <row r="441" spans="15:15" ht="13.2">
      <c r="O441" s="85"/>
    </row>
    <row r="442" spans="15:15" ht="13.2">
      <c r="O442" s="85"/>
    </row>
    <row r="443" spans="15:15" ht="13.2">
      <c r="O443" s="85"/>
    </row>
    <row r="444" spans="15:15" ht="13.2">
      <c r="O444" s="85"/>
    </row>
    <row r="445" spans="15:15" ht="13.2">
      <c r="O445" s="85"/>
    </row>
    <row r="446" spans="15:15" ht="13.2">
      <c r="O446" s="85"/>
    </row>
    <row r="447" spans="15:15" ht="13.2">
      <c r="O447" s="85"/>
    </row>
    <row r="448" spans="15:15" ht="13.2">
      <c r="O448" s="85"/>
    </row>
    <row r="449" spans="15:15" ht="13.2">
      <c r="O449" s="85"/>
    </row>
    <row r="450" spans="15:15" ht="13.2">
      <c r="O450" s="85"/>
    </row>
    <row r="451" spans="15:15" ht="13.2">
      <c r="O451" s="85"/>
    </row>
    <row r="452" spans="15:15" ht="13.2">
      <c r="O452" s="85"/>
    </row>
    <row r="453" spans="15:15" ht="13.2">
      <c r="O453" s="85"/>
    </row>
    <row r="454" spans="15:15" ht="13.2">
      <c r="O454" s="85"/>
    </row>
    <row r="455" spans="15:15" ht="13.2">
      <c r="O455" s="85"/>
    </row>
    <row r="456" spans="15:15" ht="13.2">
      <c r="O456" s="85"/>
    </row>
    <row r="457" spans="15:15" ht="13.2">
      <c r="O457" s="85"/>
    </row>
    <row r="458" spans="15:15" ht="13.2">
      <c r="O458" s="85"/>
    </row>
    <row r="459" spans="15:15" ht="13.2">
      <c r="O459" s="85"/>
    </row>
    <row r="460" spans="15:15" ht="13.2">
      <c r="O460" s="85"/>
    </row>
    <row r="461" spans="15:15" ht="13.2">
      <c r="O461" s="85"/>
    </row>
    <row r="462" spans="15:15" ht="13.2">
      <c r="O462" s="85"/>
    </row>
    <row r="463" spans="15:15" ht="13.2">
      <c r="O463" s="85"/>
    </row>
    <row r="464" spans="15:15" ht="13.2">
      <c r="O464" s="85"/>
    </row>
    <row r="465" spans="15:15" ht="13.2">
      <c r="O465" s="85"/>
    </row>
    <row r="466" spans="15:15" ht="13.2">
      <c r="O466" s="85"/>
    </row>
    <row r="467" spans="15:15" ht="13.2">
      <c r="O467" s="85"/>
    </row>
    <row r="468" spans="15:15" ht="13.2">
      <c r="O468" s="85"/>
    </row>
    <row r="469" spans="15:15" ht="13.2">
      <c r="O469" s="85"/>
    </row>
    <row r="470" spans="15:15" ht="13.2">
      <c r="O470" s="85"/>
    </row>
    <row r="471" spans="15:15" ht="13.2">
      <c r="O471" s="85"/>
    </row>
    <row r="472" spans="15:15" ht="13.2">
      <c r="O472" s="85"/>
    </row>
    <row r="473" spans="15:15" ht="13.2">
      <c r="O473" s="85"/>
    </row>
    <row r="474" spans="15:15" ht="13.2">
      <c r="O474" s="85"/>
    </row>
    <row r="475" spans="15:15" ht="13.2">
      <c r="O475" s="85"/>
    </row>
    <row r="476" spans="15:15" ht="13.2">
      <c r="O476" s="85"/>
    </row>
    <row r="477" spans="15:15" ht="13.2">
      <c r="O477" s="85"/>
    </row>
    <row r="478" spans="15:15" ht="13.2">
      <c r="O478" s="85"/>
    </row>
    <row r="479" spans="15:15" ht="13.2">
      <c r="O479" s="85"/>
    </row>
    <row r="480" spans="15:15" ht="13.2">
      <c r="O480" s="85"/>
    </row>
    <row r="481" spans="15:15" ht="13.2">
      <c r="O481" s="85"/>
    </row>
    <row r="482" spans="15:15" ht="13.2">
      <c r="O482" s="85"/>
    </row>
    <row r="483" spans="15:15" ht="13.2">
      <c r="O483" s="85"/>
    </row>
    <row r="484" spans="15:15" ht="13.2">
      <c r="O484" s="85"/>
    </row>
    <row r="485" spans="15:15" ht="13.2">
      <c r="O485" s="85"/>
    </row>
    <row r="486" spans="15:15" ht="13.2">
      <c r="O486" s="85"/>
    </row>
    <row r="487" spans="15:15" ht="13.2">
      <c r="O487" s="85"/>
    </row>
    <row r="488" spans="15:15" ht="13.2">
      <c r="O488" s="85"/>
    </row>
    <row r="489" spans="15:15" ht="13.2">
      <c r="O489" s="85"/>
    </row>
    <row r="490" spans="15:15" ht="13.2">
      <c r="O490" s="85"/>
    </row>
    <row r="491" spans="15:15" ht="13.2">
      <c r="O491" s="85"/>
    </row>
    <row r="492" spans="15:15" ht="13.2">
      <c r="O492" s="85"/>
    </row>
    <row r="493" spans="15:15" ht="13.2">
      <c r="O493" s="85"/>
    </row>
    <row r="494" spans="15:15" ht="13.2">
      <c r="O494" s="85"/>
    </row>
    <row r="495" spans="15:15" ht="13.2">
      <c r="O495" s="85"/>
    </row>
    <row r="496" spans="15:15" ht="13.2">
      <c r="O496" s="85"/>
    </row>
    <row r="497" spans="15:15" ht="13.2">
      <c r="O497" s="85"/>
    </row>
    <row r="498" spans="15:15" ht="13.2">
      <c r="O498" s="85"/>
    </row>
    <row r="499" spans="15:15" ht="13.2">
      <c r="O499" s="85"/>
    </row>
    <row r="500" spans="15:15" ht="13.2">
      <c r="O500" s="85"/>
    </row>
    <row r="501" spans="15:15" ht="13.2">
      <c r="O501" s="85"/>
    </row>
    <row r="502" spans="15:15" ht="13.2">
      <c r="O502" s="85"/>
    </row>
    <row r="503" spans="15:15" ht="13.2">
      <c r="O503" s="85"/>
    </row>
    <row r="504" spans="15:15" ht="13.2">
      <c r="O504" s="85"/>
    </row>
    <row r="505" spans="15:15" ht="13.2">
      <c r="O505" s="85"/>
    </row>
    <row r="506" spans="15:15" ht="13.2">
      <c r="O506" s="85"/>
    </row>
    <row r="507" spans="15:15" ht="13.2">
      <c r="O507" s="85"/>
    </row>
    <row r="508" spans="15:15" ht="13.2">
      <c r="O508" s="85"/>
    </row>
    <row r="509" spans="15:15" ht="13.2">
      <c r="O509" s="85"/>
    </row>
    <row r="510" spans="15:15" ht="13.2">
      <c r="O510" s="85"/>
    </row>
    <row r="511" spans="15:15" ht="13.2">
      <c r="O511" s="85"/>
    </row>
    <row r="512" spans="15:15" ht="13.2">
      <c r="O512" s="85"/>
    </row>
    <row r="513" spans="15:15" ht="13.2">
      <c r="O513" s="85"/>
    </row>
    <row r="514" spans="15:15" ht="13.2">
      <c r="O514" s="85"/>
    </row>
    <row r="515" spans="15:15" ht="13.2">
      <c r="O515" s="85"/>
    </row>
    <row r="516" spans="15:15" ht="13.2">
      <c r="O516" s="85"/>
    </row>
    <row r="517" spans="15:15" ht="13.2">
      <c r="O517" s="85"/>
    </row>
    <row r="518" spans="15:15" ht="13.2">
      <c r="O518" s="85"/>
    </row>
    <row r="519" spans="15:15" ht="13.2">
      <c r="O519" s="85"/>
    </row>
    <row r="520" spans="15:15" ht="13.2">
      <c r="O520" s="85"/>
    </row>
    <row r="521" spans="15:15" ht="13.2">
      <c r="O521" s="85"/>
    </row>
    <row r="522" spans="15:15" ht="13.2">
      <c r="O522" s="85"/>
    </row>
    <row r="523" spans="15:15" ht="13.2">
      <c r="O523" s="85"/>
    </row>
    <row r="524" spans="15:15" ht="13.2">
      <c r="O524" s="85"/>
    </row>
    <row r="525" spans="15:15" ht="13.2">
      <c r="O525" s="85"/>
    </row>
    <row r="526" spans="15:15" ht="13.2">
      <c r="O526" s="85"/>
    </row>
    <row r="527" spans="15:15" ht="13.2">
      <c r="O527" s="85"/>
    </row>
    <row r="528" spans="15:15" ht="13.2">
      <c r="O528" s="85"/>
    </row>
    <row r="529" spans="15:15" ht="13.2">
      <c r="O529" s="85"/>
    </row>
    <row r="530" spans="15:15" ht="13.2">
      <c r="O530" s="85"/>
    </row>
    <row r="531" spans="15:15" ht="13.2">
      <c r="O531" s="85"/>
    </row>
    <row r="532" spans="15:15" ht="13.2">
      <c r="O532" s="85"/>
    </row>
    <row r="533" spans="15:15" ht="13.2">
      <c r="O533" s="85"/>
    </row>
    <row r="534" spans="15:15" ht="13.2">
      <c r="O534" s="85"/>
    </row>
    <row r="535" spans="15:15" ht="13.2">
      <c r="O535" s="85"/>
    </row>
    <row r="536" spans="15:15" ht="13.2">
      <c r="O536" s="85"/>
    </row>
    <row r="537" spans="15:15" ht="13.2">
      <c r="O537" s="85"/>
    </row>
    <row r="538" spans="15:15" ht="13.2">
      <c r="O538" s="85"/>
    </row>
    <row r="539" spans="15:15" ht="13.2">
      <c r="O539" s="85"/>
    </row>
    <row r="540" spans="15:15" ht="13.2">
      <c r="O540" s="85"/>
    </row>
    <row r="541" spans="15:15" ht="13.2">
      <c r="O541" s="85"/>
    </row>
    <row r="542" spans="15:15" ht="13.2">
      <c r="O542" s="85"/>
    </row>
    <row r="543" spans="15:15" ht="13.2">
      <c r="O543" s="85"/>
    </row>
    <row r="544" spans="15:15" ht="13.2">
      <c r="O544" s="85"/>
    </row>
    <row r="545" spans="15:15" ht="13.2">
      <c r="O545" s="85"/>
    </row>
    <row r="546" spans="15:15" ht="13.2">
      <c r="O546" s="85"/>
    </row>
    <row r="547" spans="15:15" ht="13.2">
      <c r="O547" s="85"/>
    </row>
    <row r="548" spans="15:15" ht="13.2">
      <c r="O548" s="85"/>
    </row>
    <row r="549" spans="15:15" ht="13.2">
      <c r="O549" s="85"/>
    </row>
    <row r="550" spans="15:15" ht="13.2">
      <c r="O550" s="85"/>
    </row>
    <row r="551" spans="15:15" ht="13.2">
      <c r="O551" s="85"/>
    </row>
    <row r="552" spans="15:15" ht="13.2">
      <c r="O552" s="85"/>
    </row>
    <row r="553" spans="15:15" ht="13.2">
      <c r="O553" s="85"/>
    </row>
    <row r="554" spans="15:15" ht="13.2">
      <c r="O554" s="85"/>
    </row>
    <row r="555" spans="15:15" ht="13.2">
      <c r="O555" s="85"/>
    </row>
    <row r="556" spans="15:15" ht="13.2">
      <c r="O556" s="85"/>
    </row>
    <row r="557" spans="15:15" ht="13.2">
      <c r="O557" s="85"/>
    </row>
    <row r="558" spans="15:15" ht="13.2">
      <c r="O558" s="85"/>
    </row>
    <row r="559" spans="15:15" ht="13.2">
      <c r="O559" s="85"/>
    </row>
    <row r="560" spans="15:15" ht="13.2">
      <c r="O560" s="85"/>
    </row>
    <row r="561" spans="15:15" ht="13.2">
      <c r="O561" s="85"/>
    </row>
    <row r="562" spans="15:15" ht="13.2">
      <c r="O562" s="85"/>
    </row>
    <row r="563" spans="15:15" ht="13.2">
      <c r="O563" s="85"/>
    </row>
    <row r="564" spans="15:15" ht="13.2">
      <c r="O564" s="85"/>
    </row>
    <row r="565" spans="15:15" ht="13.2">
      <c r="O565" s="85"/>
    </row>
    <row r="566" spans="15:15" ht="13.2">
      <c r="O566" s="85"/>
    </row>
    <row r="567" spans="15:15" ht="13.2">
      <c r="O567" s="85"/>
    </row>
    <row r="568" spans="15:15" ht="13.2">
      <c r="O568" s="85"/>
    </row>
    <row r="569" spans="15:15" ht="13.2">
      <c r="O569" s="85"/>
    </row>
    <row r="570" spans="15:15" ht="13.2">
      <c r="O570" s="85"/>
    </row>
    <row r="571" spans="15:15" ht="13.2">
      <c r="O571" s="85"/>
    </row>
    <row r="572" spans="15:15" ht="13.2">
      <c r="O572" s="85"/>
    </row>
    <row r="573" spans="15:15" ht="13.2">
      <c r="O573" s="85"/>
    </row>
    <row r="574" spans="15:15" ht="13.2">
      <c r="O574" s="85"/>
    </row>
    <row r="575" spans="15:15" ht="13.2">
      <c r="O575" s="85"/>
    </row>
    <row r="576" spans="15:15" ht="13.2">
      <c r="O576" s="85"/>
    </row>
    <row r="577" spans="15:15" ht="13.2">
      <c r="O577" s="85"/>
    </row>
    <row r="578" spans="15:15" ht="13.2">
      <c r="O578" s="85"/>
    </row>
    <row r="579" spans="15:15" ht="13.2">
      <c r="O579" s="85"/>
    </row>
    <row r="580" spans="15:15" ht="13.2">
      <c r="O580" s="85"/>
    </row>
    <row r="581" spans="15:15" ht="13.2">
      <c r="O581" s="85"/>
    </row>
    <row r="582" spans="15:15" ht="13.2">
      <c r="O582" s="85"/>
    </row>
    <row r="583" spans="15:15" ht="13.2">
      <c r="O583" s="85"/>
    </row>
    <row r="584" spans="15:15" ht="13.2">
      <c r="O584" s="85"/>
    </row>
    <row r="585" spans="15:15" ht="13.2">
      <c r="O585" s="85"/>
    </row>
    <row r="586" spans="15:15" ht="13.2">
      <c r="O586" s="85"/>
    </row>
    <row r="587" spans="15:15" ht="13.2">
      <c r="O587" s="85"/>
    </row>
    <row r="588" spans="15:15" ht="13.2">
      <c r="O588" s="85"/>
    </row>
    <row r="589" spans="15:15" ht="13.2">
      <c r="O589" s="85"/>
    </row>
    <row r="590" spans="15:15" ht="13.2">
      <c r="O590" s="85"/>
    </row>
    <row r="591" spans="15:15" ht="13.2">
      <c r="O591" s="85"/>
    </row>
    <row r="592" spans="15:15" ht="13.2">
      <c r="O592" s="85"/>
    </row>
    <row r="593" spans="15:15" ht="13.2">
      <c r="O593" s="85"/>
    </row>
    <row r="594" spans="15:15" ht="13.2">
      <c r="O594" s="85"/>
    </row>
    <row r="595" spans="15:15" ht="13.2">
      <c r="O595" s="85"/>
    </row>
    <row r="596" spans="15:15" ht="13.2">
      <c r="O596" s="85"/>
    </row>
    <row r="597" spans="15:15" ht="13.2">
      <c r="O597" s="85"/>
    </row>
    <row r="598" spans="15:15" ht="13.2">
      <c r="O598" s="85"/>
    </row>
    <row r="599" spans="15:15" ht="13.2">
      <c r="O599" s="85"/>
    </row>
    <row r="600" spans="15:15" ht="13.2">
      <c r="O600" s="85"/>
    </row>
    <row r="601" spans="15:15" ht="13.2">
      <c r="O601" s="85"/>
    </row>
    <row r="602" spans="15:15" ht="13.2">
      <c r="O602" s="85"/>
    </row>
    <row r="603" spans="15:15" ht="13.2">
      <c r="O603" s="85"/>
    </row>
    <row r="604" spans="15:15" ht="13.2">
      <c r="O604" s="85"/>
    </row>
    <row r="605" spans="15:15" ht="13.2">
      <c r="O605" s="85"/>
    </row>
    <row r="606" spans="15:15" ht="13.2">
      <c r="O606" s="85"/>
    </row>
    <row r="607" spans="15:15" ht="13.2">
      <c r="O607" s="85"/>
    </row>
    <row r="608" spans="15:15" ht="13.2">
      <c r="O608" s="85"/>
    </row>
    <row r="609" spans="15:15" ht="13.2">
      <c r="O609" s="85"/>
    </row>
    <row r="610" spans="15:15" ht="13.2">
      <c r="O610" s="85"/>
    </row>
    <row r="611" spans="15:15" ht="13.2">
      <c r="O611" s="85"/>
    </row>
    <row r="612" spans="15:15" ht="13.2">
      <c r="O612" s="85"/>
    </row>
    <row r="613" spans="15:15" ht="13.2">
      <c r="O613" s="85"/>
    </row>
    <row r="614" spans="15:15" ht="13.2">
      <c r="O614" s="85"/>
    </row>
    <row r="615" spans="15:15" ht="13.2">
      <c r="O615" s="85"/>
    </row>
    <row r="616" spans="15:15" ht="13.2">
      <c r="O616" s="85"/>
    </row>
    <row r="617" spans="15:15" ht="13.2">
      <c r="O617" s="85"/>
    </row>
    <row r="618" spans="15:15" ht="13.2">
      <c r="O618" s="85"/>
    </row>
    <row r="619" spans="15:15" ht="13.2">
      <c r="O619" s="85"/>
    </row>
    <row r="620" spans="15:15" ht="13.2">
      <c r="O620" s="85"/>
    </row>
    <row r="621" spans="15:15" ht="13.2">
      <c r="O621" s="85"/>
    </row>
    <row r="622" spans="15:15" ht="13.2">
      <c r="O622" s="85"/>
    </row>
    <row r="623" spans="15:15" ht="13.2">
      <c r="O623" s="85"/>
    </row>
    <row r="624" spans="15:15" ht="13.2">
      <c r="O624" s="85"/>
    </row>
    <row r="625" spans="15:15" ht="13.2">
      <c r="O625" s="85"/>
    </row>
    <row r="626" spans="15:15" ht="13.2">
      <c r="O626" s="85"/>
    </row>
    <row r="627" spans="15:15" ht="13.2">
      <c r="O627" s="85"/>
    </row>
    <row r="628" spans="15:15" ht="13.2">
      <c r="O628" s="85"/>
    </row>
    <row r="629" spans="15:15" ht="13.2">
      <c r="O629" s="85"/>
    </row>
    <row r="630" spans="15:15" ht="13.2">
      <c r="O630" s="85"/>
    </row>
    <row r="631" spans="15:15" ht="13.2">
      <c r="O631" s="85"/>
    </row>
    <row r="632" spans="15:15" ht="13.2">
      <c r="O632" s="85"/>
    </row>
    <row r="633" spans="15:15" ht="13.2">
      <c r="O633" s="85"/>
    </row>
    <row r="634" spans="15:15" ht="13.2">
      <c r="O634" s="85"/>
    </row>
    <row r="635" spans="15:15" ht="13.2">
      <c r="O635" s="85"/>
    </row>
    <row r="636" spans="15:15" ht="13.2">
      <c r="O636" s="85"/>
    </row>
    <row r="637" spans="15:15" ht="13.2">
      <c r="O637" s="85"/>
    </row>
    <row r="638" spans="15:15" ht="13.2">
      <c r="O638" s="85"/>
    </row>
    <row r="639" spans="15:15" ht="13.2">
      <c r="O639" s="85"/>
    </row>
    <row r="640" spans="15:15" ht="13.2">
      <c r="O640" s="85"/>
    </row>
    <row r="641" spans="15:15" ht="13.2">
      <c r="O641" s="85"/>
    </row>
    <row r="642" spans="15:15" ht="13.2">
      <c r="O642" s="85"/>
    </row>
    <row r="643" spans="15:15" ht="13.2">
      <c r="O643" s="85"/>
    </row>
    <row r="644" spans="15:15" ht="13.2">
      <c r="O644" s="85"/>
    </row>
    <row r="645" spans="15:15" ht="13.2">
      <c r="O645" s="85"/>
    </row>
    <row r="646" spans="15:15" ht="13.2">
      <c r="O646" s="85"/>
    </row>
    <row r="647" spans="15:15" ht="13.2">
      <c r="O647" s="85"/>
    </row>
    <row r="648" spans="15:15" ht="13.2">
      <c r="O648" s="85"/>
    </row>
    <row r="649" spans="15:15" ht="13.2">
      <c r="O649" s="85"/>
    </row>
    <row r="650" spans="15:15" ht="13.2">
      <c r="O650" s="85"/>
    </row>
    <row r="651" spans="15:15" ht="13.2">
      <c r="O651" s="85"/>
    </row>
    <row r="652" spans="15:15" ht="13.2">
      <c r="O652" s="85"/>
    </row>
    <row r="653" spans="15:15" ht="13.2">
      <c r="O653" s="85"/>
    </row>
    <row r="654" spans="15:15" ht="13.2">
      <c r="O654" s="85"/>
    </row>
    <row r="655" spans="15:15" ht="13.2">
      <c r="O655" s="85"/>
    </row>
    <row r="656" spans="15:15" ht="13.2">
      <c r="O656" s="85"/>
    </row>
    <row r="657" spans="15:15" ht="13.2">
      <c r="O657" s="85"/>
    </row>
    <row r="658" spans="15:15" ht="13.2">
      <c r="O658" s="85"/>
    </row>
    <row r="659" spans="15:15" ht="13.2">
      <c r="O659" s="85"/>
    </row>
    <row r="660" spans="15:15" ht="13.2">
      <c r="O660" s="85"/>
    </row>
    <row r="661" spans="15:15" ht="13.2">
      <c r="O661" s="85"/>
    </row>
    <row r="662" spans="15:15" ht="13.2">
      <c r="O662" s="85"/>
    </row>
    <row r="663" spans="15:15" ht="13.2">
      <c r="O663" s="85"/>
    </row>
    <row r="664" spans="15:15" ht="13.2">
      <c r="O664" s="85"/>
    </row>
    <row r="665" spans="15:15" ht="13.2">
      <c r="O665" s="85"/>
    </row>
    <row r="666" spans="15:15" ht="13.2">
      <c r="O666" s="85"/>
    </row>
    <row r="667" spans="15:15" ht="13.2">
      <c r="O667" s="85"/>
    </row>
    <row r="668" spans="15:15" ht="13.2">
      <c r="O668" s="85"/>
    </row>
    <row r="669" spans="15:15" ht="13.2">
      <c r="O669" s="85"/>
    </row>
    <row r="670" spans="15:15" ht="13.2">
      <c r="O670" s="85"/>
    </row>
    <row r="671" spans="15:15" ht="13.2">
      <c r="O671" s="85"/>
    </row>
    <row r="672" spans="15:15" ht="13.2">
      <c r="O672" s="85"/>
    </row>
    <row r="673" spans="15:15" ht="13.2">
      <c r="O673" s="85"/>
    </row>
    <row r="674" spans="15:15" ht="13.2">
      <c r="O674" s="85"/>
    </row>
    <row r="675" spans="15:15" ht="13.2">
      <c r="O675" s="85"/>
    </row>
    <row r="676" spans="15:15" ht="13.2">
      <c r="O676" s="85"/>
    </row>
    <row r="677" spans="15:15" ht="13.2">
      <c r="O677" s="85"/>
    </row>
    <row r="678" spans="15:15" ht="13.2">
      <c r="O678" s="85"/>
    </row>
    <row r="679" spans="15:15" ht="13.2">
      <c r="O679" s="85"/>
    </row>
    <row r="680" spans="15:15" ht="13.2">
      <c r="O680" s="85"/>
    </row>
    <row r="681" spans="15:15" ht="13.2">
      <c r="O681" s="85"/>
    </row>
    <row r="682" spans="15:15" ht="13.2">
      <c r="O682" s="85"/>
    </row>
    <row r="683" spans="15:15" ht="13.2">
      <c r="O683" s="85"/>
    </row>
    <row r="684" spans="15:15" ht="13.2">
      <c r="O684" s="85"/>
    </row>
    <row r="685" spans="15:15" ht="13.2">
      <c r="O685" s="85"/>
    </row>
    <row r="686" spans="15:15" ht="13.2">
      <c r="O686" s="85"/>
    </row>
    <row r="687" spans="15:15" ht="13.2">
      <c r="O687" s="85"/>
    </row>
    <row r="688" spans="15:15" ht="13.2">
      <c r="O688" s="85"/>
    </row>
    <row r="689" spans="15:15" ht="13.2">
      <c r="O689" s="85"/>
    </row>
    <row r="690" spans="15:15" ht="13.2">
      <c r="O690" s="85"/>
    </row>
    <row r="691" spans="15:15" ht="13.2">
      <c r="O691" s="85"/>
    </row>
    <row r="692" spans="15:15" ht="13.2">
      <c r="O692" s="85"/>
    </row>
    <row r="693" spans="15:15" ht="13.2">
      <c r="O693" s="85"/>
    </row>
    <row r="694" spans="15:15" ht="13.2">
      <c r="O694" s="85"/>
    </row>
    <row r="695" spans="15:15" ht="13.2">
      <c r="O695" s="85"/>
    </row>
    <row r="696" spans="15:15" ht="13.2">
      <c r="O696" s="85"/>
    </row>
    <row r="697" spans="15:15" ht="13.2">
      <c r="O697" s="85"/>
    </row>
    <row r="698" spans="15:15" ht="13.2">
      <c r="O698" s="85"/>
    </row>
    <row r="699" spans="15:15" ht="13.2">
      <c r="O699" s="85"/>
    </row>
    <row r="700" spans="15:15" ht="13.2">
      <c r="O700" s="85"/>
    </row>
    <row r="701" spans="15:15" ht="13.2">
      <c r="O701" s="85"/>
    </row>
    <row r="702" spans="15:15" ht="13.2">
      <c r="O702" s="85"/>
    </row>
    <row r="703" spans="15:15" ht="13.2">
      <c r="O703" s="85"/>
    </row>
    <row r="704" spans="15:15" ht="13.2">
      <c r="O704" s="85"/>
    </row>
    <row r="705" spans="15:15" ht="13.2">
      <c r="O705" s="85"/>
    </row>
    <row r="706" spans="15:15" ht="13.2">
      <c r="O706" s="85"/>
    </row>
    <row r="707" spans="15:15" ht="13.2">
      <c r="O707" s="85"/>
    </row>
    <row r="708" spans="15:15" ht="13.2">
      <c r="O708" s="85"/>
    </row>
    <row r="709" spans="15:15" ht="13.2">
      <c r="O709" s="85"/>
    </row>
    <row r="710" spans="15:15" ht="13.2">
      <c r="O710" s="85"/>
    </row>
    <row r="711" spans="15:15" ht="13.2">
      <c r="O711" s="85"/>
    </row>
    <row r="712" spans="15:15" ht="13.2">
      <c r="O712" s="85"/>
    </row>
    <row r="713" spans="15:15" ht="13.2">
      <c r="O713" s="85"/>
    </row>
    <row r="714" spans="15:15" ht="13.2">
      <c r="O714" s="85"/>
    </row>
    <row r="715" spans="15:15" ht="13.2">
      <c r="O715" s="85"/>
    </row>
    <row r="716" spans="15:15" ht="13.2">
      <c r="O716" s="85"/>
    </row>
    <row r="717" spans="15:15" ht="13.2">
      <c r="O717" s="85"/>
    </row>
    <row r="718" spans="15:15" ht="13.2">
      <c r="O718" s="85"/>
    </row>
    <row r="719" spans="15:15" ht="13.2">
      <c r="O719" s="85"/>
    </row>
    <row r="720" spans="15:15" ht="13.2">
      <c r="O720" s="85"/>
    </row>
    <row r="721" spans="15:15" ht="13.2">
      <c r="O721" s="85"/>
    </row>
    <row r="722" spans="15:15" ht="13.2">
      <c r="O722" s="85"/>
    </row>
    <row r="723" spans="15:15" ht="13.2">
      <c r="O723" s="85"/>
    </row>
    <row r="724" spans="15:15" ht="13.2">
      <c r="O724" s="85"/>
    </row>
    <row r="725" spans="15:15" ht="13.2">
      <c r="O725" s="85"/>
    </row>
    <row r="726" spans="15:15" ht="13.2">
      <c r="O726" s="85"/>
    </row>
    <row r="727" spans="15:15" ht="13.2">
      <c r="O727" s="85"/>
    </row>
    <row r="728" spans="15:15" ht="13.2">
      <c r="O728" s="85"/>
    </row>
    <row r="729" spans="15:15" ht="13.2">
      <c r="O729" s="85"/>
    </row>
    <row r="730" spans="15:15" ht="13.2">
      <c r="O730" s="85"/>
    </row>
    <row r="731" spans="15:15" ht="13.2">
      <c r="O731" s="85"/>
    </row>
    <row r="732" spans="15:15" ht="13.2">
      <c r="O732" s="85"/>
    </row>
    <row r="733" spans="15:15" ht="13.2">
      <c r="O733" s="85"/>
    </row>
    <row r="734" spans="15:15" ht="13.2">
      <c r="O734" s="85"/>
    </row>
    <row r="735" spans="15:15" ht="13.2">
      <c r="O735" s="85"/>
    </row>
    <row r="736" spans="15:15" ht="13.2">
      <c r="O736" s="85"/>
    </row>
    <row r="737" spans="15:15" ht="13.2">
      <c r="O737" s="85"/>
    </row>
    <row r="738" spans="15:15" ht="13.2">
      <c r="O738" s="85"/>
    </row>
    <row r="739" spans="15:15" ht="13.2">
      <c r="O739" s="85"/>
    </row>
    <row r="740" spans="15:15" ht="13.2">
      <c r="O740" s="85"/>
    </row>
    <row r="741" spans="15:15" ht="13.2">
      <c r="O741" s="85"/>
    </row>
    <row r="742" spans="15:15" ht="13.2">
      <c r="O742" s="85"/>
    </row>
    <row r="743" spans="15:15" ht="13.2">
      <c r="O743" s="85"/>
    </row>
    <row r="744" spans="15:15" ht="13.2">
      <c r="O744" s="85"/>
    </row>
    <row r="745" spans="15:15" ht="13.2">
      <c r="O745" s="85"/>
    </row>
    <row r="746" spans="15:15" ht="13.2">
      <c r="O746" s="85"/>
    </row>
    <row r="747" spans="15:15" ht="13.2">
      <c r="O747" s="85"/>
    </row>
    <row r="748" spans="15:15" ht="13.2">
      <c r="O748" s="85"/>
    </row>
    <row r="749" spans="15:15" ht="13.2">
      <c r="O749" s="85"/>
    </row>
    <row r="750" spans="15:15" ht="13.2">
      <c r="O750" s="85"/>
    </row>
    <row r="751" spans="15:15" ht="13.2">
      <c r="O751" s="85"/>
    </row>
    <row r="752" spans="15:15" ht="13.2">
      <c r="O752" s="85"/>
    </row>
    <row r="753" spans="15:15" ht="13.2">
      <c r="O753" s="85"/>
    </row>
    <row r="754" spans="15:15" ht="13.2">
      <c r="O754" s="85"/>
    </row>
    <row r="755" spans="15:15" ht="13.2">
      <c r="O755" s="85"/>
    </row>
    <row r="756" spans="15:15" ht="13.2">
      <c r="O756" s="85"/>
    </row>
    <row r="757" spans="15:15" ht="13.2">
      <c r="O757" s="85"/>
    </row>
    <row r="758" spans="15:15" ht="13.2">
      <c r="O758" s="85"/>
    </row>
    <row r="759" spans="15:15" ht="13.2">
      <c r="O759" s="85"/>
    </row>
    <row r="760" spans="15:15" ht="13.2">
      <c r="O760" s="85"/>
    </row>
    <row r="761" spans="15:15" ht="13.2">
      <c r="O761" s="85"/>
    </row>
    <row r="762" spans="15:15" ht="13.2">
      <c r="O762" s="85"/>
    </row>
    <row r="763" spans="15:15" ht="13.2">
      <c r="O763" s="85"/>
    </row>
    <row r="764" spans="15:15" ht="13.2">
      <c r="O764" s="85"/>
    </row>
    <row r="765" spans="15:15" ht="13.2">
      <c r="O765" s="85"/>
    </row>
    <row r="766" spans="15:15" ht="13.2">
      <c r="O766" s="85"/>
    </row>
    <row r="767" spans="15:15" ht="13.2">
      <c r="O767" s="85"/>
    </row>
    <row r="768" spans="15:15" ht="13.2">
      <c r="O768" s="85"/>
    </row>
    <row r="769" spans="15:15" ht="13.2">
      <c r="O769" s="85"/>
    </row>
    <row r="770" spans="15:15" ht="13.2">
      <c r="O770" s="85"/>
    </row>
    <row r="771" spans="15:15" ht="13.2">
      <c r="O771" s="85"/>
    </row>
    <row r="772" spans="15:15" ht="13.2">
      <c r="O772" s="85"/>
    </row>
    <row r="773" spans="15:15" ht="13.2">
      <c r="O773" s="85"/>
    </row>
    <row r="774" spans="15:15" ht="13.2">
      <c r="O774" s="85"/>
    </row>
    <row r="775" spans="15:15" ht="13.2">
      <c r="O775" s="85"/>
    </row>
    <row r="776" spans="15:15" ht="13.2">
      <c r="O776" s="85"/>
    </row>
    <row r="777" spans="15:15" ht="13.2">
      <c r="O777" s="85"/>
    </row>
    <row r="778" spans="15:15" ht="13.2">
      <c r="O778" s="85"/>
    </row>
    <row r="779" spans="15:15" ht="13.2">
      <c r="O779" s="85"/>
    </row>
    <row r="780" spans="15:15" ht="13.2">
      <c r="O780" s="85"/>
    </row>
    <row r="781" spans="15:15" ht="13.2">
      <c r="O781" s="85"/>
    </row>
    <row r="782" spans="15:15" ht="13.2">
      <c r="O782" s="85"/>
    </row>
    <row r="783" spans="15:15" ht="13.2">
      <c r="O783" s="85"/>
    </row>
    <row r="784" spans="15:15" ht="13.2">
      <c r="O784" s="85"/>
    </row>
    <row r="785" spans="15:15" ht="13.2">
      <c r="O785" s="85"/>
    </row>
    <row r="786" spans="15:15" ht="13.2">
      <c r="O786" s="85"/>
    </row>
    <row r="787" spans="15:15" ht="13.2">
      <c r="O787" s="85"/>
    </row>
    <row r="788" spans="15:15" ht="13.2">
      <c r="O788" s="85"/>
    </row>
    <row r="789" spans="15:15" ht="13.2">
      <c r="O789" s="85"/>
    </row>
    <row r="790" spans="15:15" ht="13.2">
      <c r="O790" s="85"/>
    </row>
    <row r="791" spans="15:15" ht="13.2">
      <c r="O791" s="85"/>
    </row>
    <row r="792" spans="15:15" ht="13.2">
      <c r="O792" s="85"/>
    </row>
    <row r="793" spans="15:15" ht="13.2">
      <c r="O793" s="85"/>
    </row>
    <row r="794" spans="15:15" ht="13.2">
      <c r="O794" s="85"/>
    </row>
    <row r="795" spans="15:15" ht="13.2">
      <c r="O795" s="85"/>
    </row>
    <row r="796" spans="15:15" ht="13.2">
      <c r="O796" s="85"/>
    </row>
    <row r="797" spans="15:15" ht="13.2">
      <c r="O797" s="85"/>
    </row>
    <row r="798" spans="15:15" ht="13.2">
      <c r="O798" s="85"/>
    </row>
    <row r="799" spans="15:15" ht="13.2">
      <c r="O799" s="85"/>
    </row>
    <row r="800" spans="15:15" ht="13.2">
      <c r="O800" s="85"/>
    </row>
    <row r="801" spans="15:15" ht="13.2">
      <c r="O801" s="85"/>
    </row>
    <row r="802" spans="15:15" ht="13.2">
      <c r="O802" s="85"/>
    </row>
    <row r="803" spans="15:15" ht="13.2">
      <c r="O803" s="85"/>
    </row>
    <row r="804" spans="15:15" ht="13.2">
      <c r="O804" s="85"/>
    </row>
    <row r="805" spans="15:15" ht="13.2">
      <c r="O805" s="85"/>
    </row>
    <row r="806" spans="15:15" ht="13.2">
      <c r="O806" s="85"/>
    </row>
    <row r="807" spans="15:15" ht="13.2">
      <c r="O807" s="85"/>
    </row>
    <row r="808" spans="15:15" ht="13.2">
      <c r="O808" s="85"/>
    </row>
    <row r="809" spans="15:15" ht="13.2">
      <c r="O809" s="85"/>
    </row>
    <row r="810" spans="15:15" ht="13.2">
      <c r="O810" s="85"/>
    </row>
    <row r="811" spans="15:15" ht="13.2">
      <c r="O811" s="85"/>
    </row>
    <row r="812" spans="15:15" ht="13.2">
      <c r="O812" s="85"/>
    </row>
    <row r="813" spans="15:15" ht="13.2">
      <c r="O813" s="85"/>
    </row>
    <row r="814" spans="15:15" ht="13.2">
      <c r="O814" s="85"/>
    </row>
    <row r="815" spans="15:15" ht="13.2">
      <c r="O815" s="85"/>
    </row>
    <row r="816" spans="15:15" ht="13.2">
      <c r="O816" s="85"/>
    </row>
    <row r="817" spans="15:15" ht="13.2">
      <c r="O817" s="85"/>
    </row>
    <row r="818" spans="15:15" ht="13.2">
      <c r="O818" s="85"/>
    </row>
    <row r="819" spans="15:15" ht="13.2">
      <c r="O819" s="85"/>
    </row>
    <row r="820" spans="15:15" ht="13.2">
      <c r="O820" s="85"/>
    </row>
    <row r="821" spans="15:15" ht="13.2">
      <c r="O821" s="85"/>
    </row>
    <row r="822" spans="15:15" ht="13.2">
      <c r="O822" s="85"/>
    </row>
    <row r="823" spans="15:15" ht="13.2">
      <c r="O823" s="85"/>
    </row>
    <row r="824" spans="15:15" ht="13.2">
      <c r="O824" s="85"/>
    </row>
    <row r="825" spans="15:15" ht="13.2">
      <c r="O825" s="85"/>
    </row>
    <row r="826" spans="15:15" ht="13.2">
      <c r="O826" s="85"/>
    </row>
    <row r="827" spans="15:15" ht="13.2">
      <c r="O827" s="85"/>
    </row>
    <row r="828" spans="15:15" ht="13.2">
      <c r="O828" s="85"/>
    </row>
    <row r="829" spans="15:15" ht="13.2">
      <c r="O829" s="85"/>
    </row>
    <row r="830" spans="15:15" ht="13.2">
      <c r="O830" s="85"/>
    </row>
    <row r="831" spans="15:15" ht="13.2">
      <c r="O831" s="85"/>
    </row>
    <row r="832" spans="15:15" ht="13.2">
      <c r="O832" s="85"/>
    </row>
    <row r="833" spans="15:15" ht="13.2">
      <c r="O833" s="85"/>
    </row>
    <row r="834" spans="15:15" ht="13.2">
      <c r="O834" s="85"/>
    </row>
    <row r="835" spans="15:15" ht="13.2">
      <c r="O835" s="85"/>
    </row>
    <row r="836" spans="15:15" ht="13.2">
      <c r="O836" s="85"/>
    </row>
    <row r="837" spans="15:15" ht="13.2">
      <c r="O837" s="85"/>
    </row>
    <row r="838" spans="15:15" ht="13.2">
      <c r="O838" s="85"/>
    </row>
    <row r="839" spans="15:15" ht="13.2">
      <c r="O839" s="85"/>
    </row>
    <row r="840" spans="15:15" ht="13.2">
      <c r="O840" s="85"/>
    </row>
    <row r="841" spans="15:15" ht="13.2">
      <c r="O841" s="85"/>
    </row>
    <row r="842" spans="15:15" ht="13.2">
      <c r="O842" s="85"/>
    </row>
    <row r="843" spans="15:15" ht="13.2">
      <c r="O843" s="85"/>
    </row>
    <row r="844" spans="15:15" ht="13.2">
      <c r="O844" s="85"/>
    </row>
    <row r="845" spans="15:15" ht="13.2">
      <c r="O845" s="85"/>
    </row>
    <row r="846" spans="15:15" ht="13.2">
      <c r="O846" s="85"/>
    </row>
    <row r="847" spans="15:15" ht="13.2">
      <c r="O847" s="85"/>
    </row>
    <row r="848" spans="15:15" ht="13.2">
      <c r="O848" s="85"/>
    </row>
    <row r="849" spans="15:15" ht="13.2">
      <c r="O849" s="85"/>
    </row>
    <row r="850" spans="15:15" ht="13.2">
      <c r="O850" s="85"/>
    </row>
    <row r="851" spans="15:15" ht="13.2">
      <c r="O851" s="85"/>
    </row>
    <row r="852" spans="15:15" ht="13.2">
      <c r="O852" s="85"/>
    </row>
    <row r="853" spans="15:15" ht="13.2">
      <c r="O853" s="85"/>
    </row>
    <row r="854" spans="15:15" ht="13.2">
      <c r="O854" s="85"/>
    </row>
    <row r="855" spans="15:15" ht="13.2">
      <c r="O855" s="85"/>
    </row>
    <row r="856" spans="15:15" ht="13.2">
      <c r="O856" s="85"/>
    </row>
    <row r="857" spans="15:15" ht="13.2">
      <c r="O857" s="85"/>
    </row>
    <row r="858" spans="15:15" ht="13.2">
      <c r="O858" s="85"/>
    </row>
    <row r="859" spans="15:15" ht="13.2">
      <c r="O859" s="85"/>
    </row>
    <row r="860" spans="15:15" ht="13.2">
      <c r="O860" s="85"/>
    </row>
    <row r="861" spans="15:15" ht="13.2">
      <c r="O861" s="85"/>
    </row>
    <row r="862" spans="15:15" ht="13.2">
      <c r="O862" s="85"/>
    </row>
    <row r="863" spans="15:15" ht="13.2">
      <c r="O863" s="85"/>
    </row>
    <row r="864" spans="15:15" ht="13.2">
      <c r="O864" s="85"/>
    </row>
    <row r="865" spans="15:15" ht="13.2">
      <c r="O865" s="85"/>
    </row>
    <row r="866" spans="15:15" ht="13.2">
      <c r="O866" s="85"/>
    </row>
    <row r="867" spans="15:15" ht="13.2">
      <c r="O867" s="85"/>
    </row>
    <row r="868" spans="15:15" ht="13.2">
      <c r="O868" s="85"/>
    </row>
    <row r="869" spans="15:15" ht="13.2">
      <c r="O869" s="85"/>
    </row>
    <row r="870" spans="15:15" ht="13.2">
      <c r="O870" s="85"/>
    </row>
    <row r="871" spans="15:15" ht="13.2">
      <c r="O871" s="85"/>
    </row>
    <row r="872" spans="15:15" ht="13.2">
      <c r="O872" s="85"/>
    </row>
    <row r="873" spans="15:15" ht="13.2">
      <c r="O873" s="85"/>
    </row>
    <row r="874" spans="15:15" ht="13.2">
      <c r="O874" s="85"/>
    </row>
    <row r="875" spans="15:15" ht="13.2">
      <c r="O875" s="85"/>
    </row>
    <row r="876" spans="15:15" ht="13.2">
      <c r="O876" s="85"/>
    </row>
    <row r="877" spans="15:15" ht="13.2">
      <c r="O877" s="85"/>
    </row>
    <row r="878" spans="15:15" ht="13.2">
      <c r="O878" s="85"/>
    </row>
    <row r="879" spans="15:15" ht="13.2">
      <c r="O879" s="85"/>
    </row>
    <row r="880" spans="15:15" ht="13.2">
      <c r="O880" s="85"/>
    </row>
    <row r="881" spans="15:15" ht="13.2">
      <c r="O881" s="85"/>
    </row>
    <row r="882" spans="15:15" ht="13.2">
      <c r="O882" s="85"/>
    </row>
    <row r="883" spans="15:15" ht="13.2">
      <c r="O883" s="85"/>
    </row>
    <row r="884" spans="15:15" ht="13.2">
      <c r="O884" s="85"/>
    </row>
    <row r="885" spans="15:15" ht="13.2">
      <c r="O885" s="85"/>
    </row>
    <row r="886" spans="15:15" ht="13.2">
      <c r="O886" s="85"/>
    </row>
    <row r="887" spans="15:15" ht="13.2">
      <c r="O887" s="85"/>
    </row>
    <row r="888" spans="15:15" ht="13.2">
      <c r="O888" s="85"/>
    </row>
    <row r="889" spans="15:15" ht="13.2">
      <c r="O889" s="85"/>
    </row>
    <row r="890" spans="15:15" ht="13.2">
      <c r="O890" s="85"/>
    </row>
    <row r="891" spans="15:15" ht="13.2">
      <c r="O891" s="85"/>
    </row>
    <row r="892" spans="15:15" ht="13.2">
      <c r="O892" s="85"/>
    </row>
    <row r="893" spans="15:15" ht="13.2">
      <c r="O893" s="85"/>
    </row>
    <row r="894" spans="15:15" ht="13.2">
      <c r="O894" s="85"/>
    </row>
    <row r="895" spans="15:15" ht="13.2">
      <c r="O895" s="85"/>
    </row>
    <row r="896" spans="15:15" ht="13.2">
      <c r="O896" s="85"/>
    </row>
    <row r="897" spans="15:15" ht="13.2">
      <c r="O897" s="85"/>
    </row>
    <row r="898" spans="15:15" ht="13.2">
      <c r="O898" s="85"/>
    </row>
    <row r="899" spans="15:15" ht="13.2">
      <c r="O899" s="85"/>
    </row>
    <row r="900" spans="15:15" ht="13.2">
      <c r="O900" s="85"/>
    </row>
    <row r="901" spans="15:15" ht="13.2">
      <c r="O901" s="85"/>
    </row>
    <row r="902" spans="15:15" ht="13.2">
      <c r="O902" s="85"/>
    </row>
    <row r="903" spans="15:15" ht="13.2">
      <c r="O903" s="85"/>
    </row>
    <row r="904" spans="15:15" ht="13.2">
      <c r="O904" s="85"/>
    </row>
    <row r="905" spans="15:15" ht="13.2">
      <c r="O905" s="85"/>
    </row>
    <row r="906" spans="15:15" ht="13.2">
      <c r="O906" s="85"/>
    </row>
    <row r="907" spans="15:15" ht="13.2">
      <c r="O907" s="85"/>
    </row>
    <row r="908" spans="15:15" ht="13.2">
      <c r="O908" s="85"/>
    </row>
    <row r="909" spans="15:15" ht="13.2">
      <c r="O909" s="85"/>
    </row>
    <row r="910" spans="15:15" ht="13.2">
      <c r="O910" s="85"/>
    </row>
    <row r="911" spans="15:15" ht="13.2">
      <c r="O911" s="85"/>
    </row>
    <row r="912" spans="15:15" ht="13.2">
      <c r="O912" s="85"/>
    </row>
    <row r="913" spans="15:15" ht="13.2">
      <c r="O913" s="85"/>
    </row>
    <row r="914" spans="15:15" ht="13.2">
      <c r="O914" s="85"/>
    </row>
    <row r="915" spans="15:15" ht="13.2">
      <c r="O915" s="85"/>
    </row>
    <row r="916" spans="15:15" ht="13.2">
      <c r="O916" s="85"/>
    </row>
    <row r="917" spans="15:15" ht="13.2">
      <c r="O917" s="85"/>
    </row>
    <row r="918" spans="15:15" ht="13.2">
      <c r="O918" s="85"/>
    </row>
    <row r="919" spans="15:15" ht="13.2">
      <c r="O919" s="85"/>
    </row>
    <row r="920" spans="15:15" ht="13.2">
      <c r="O920" s="85"/>
    </row>
    <row r="921" spans="15:15" ht="13.2">
      <c r="O921" s="85"/>
    </row>
    <row r="922" spans="15:15" ht="13.2">
      <c r="O922" s="85"/>
    </row>
    <row r="923" spans="15:15" ht="13.2">
      <c r="O923" s="85"/>
    </row>
    <row r="924" spans="15:15" ht="13.2">
      <c r="O924" s="85"/>
    </row>
    <row r="925" spans="15:15" ht="13.2">
      <c r="O925" s="85"/>
    </row>
    <row r="926" spans="15:15" ht="13.2">
      <c r="O926" s="85"/>
    </row>
    <row r="927" spans="15:15" ht="13.2">
      <c r="O927" s="85"/>
    </row>
    <row r="928" spans="15:15" ht="13.2">
      <c r="O928" s="85"/>
    </row>
    <row r="929" spans="15:15" ht="13.2">
      <c r="O929" s="85"/>
    </row>
    <row r="930" spans="15:15" ht="13.2">
      <c r="O930" s="85"/>
    </row>
    <row r="931" spans="15:15" ht="13.2">
      <c r="O931" s="85"/>
    </row>
    <row r="932" spans="15:15" ht="13.2">
      <c r="O932" s="85"/>
    </row>
    <row r="933" spans="15:15" ht="13.2">
      <c r="O933" s="85"/>
    </row>
    <row r="934" spans="15:15" ht="13.2">
      <c r="O934" s="85"/>
    </row>
    <row r="935" spans="15:15" ht="13.2">
      <c r="O935" s="85"/>
    </row>
    <row r="936" spans="15:15" ht="13.2">
      <c r="O936" s="85"/>
    </row>
    <row r="937" spans="15:15" ht="13.2">
      <c r="O937" s="85"/>
    </row>
    <row r="938" spans="15:15" ht="13.2">
      <c r="O938" s="85"/>
    </row>
    <row r="939" spans="15:15" ht="13.2">
      <c r="O939" s="85"/>
    </row>
    <row r="940" spans="15:15" ht="13.2">
      <c r="O940" s="85"/>
    </row>
    <row r="941" spans="15:15" ht="13.2">
      <c r="O941" s="85"/>
    </row>
    <row r="942" spans="15:15" ht="13.2">
      <c r="O942" s="85"/>
    </row>
    <row r="943" spans="15:15" ht="13.2">
      <c r="O943" s="85"/>
    </row>
    <row r="944" spans="15:15" ht="13.2">
      <c r="O944" s="85"/>
    </row>
    <row r="945" spans="15:15" ht="13.2">
      <c r="O945" s="85"/>
    </row>
    <row r="946" spans="15:15" ht="13.2">
      <c r="O946" s="85"/>
    </row>
    <row r="947" spans="15:15" ht="13.2">
      <c r="O947" s="85"/>
    </row>
    <row r="948" spans="15:15" ht="13.2">
      <c r="O948" s="85"/>
    </row>
    <row r="949" spans="15:15" ht="13.2">
      <c r="O949" s="85"/>
    </row>
    <row r="950" spans="15:15" ht="13.2">
      <c r="O950" s="85"/>
    </row>
    <row r="951" spans="15:15" ht="13.2">
      <c r="O951" s="85"/>
    </row>
    <row r="952" spans="15:15" ht="13.2">
      <c r="O952" s="85"/>
    </row>
    <row r="953" spans="15:15" ht="13.2">
      <c r="O953" s="85"/>
    </row>
    <row r="954" spans="15:15" ht="13.2">
      <c r="O954" s="85"/>
    </row>
    <row r="955" spans="15:15" ht="13.2">
      <c r="O955" s="85"/>
    </row>
    <row r="956" spans="15:15" ht="13.2">
      <c r="O956" s="85"/>
    </row>
    <row r="957" spans="15:15" ht="13.2">
      <c r="O957" s="85"/>
    </row>
    <row r="958" spans="15:15" ht="13.2">
      <c r="O958" s="85"/>
    </row>
    <row r="959" spans="15:15" ht="13.2">
      <c r="O959" s="85"/>
    </row>
    <row r="960" spans="15:15" ht="13.2">
      <c r="O960" s="85"/>
    </row>
    <row r="961" spans="15:15" ht="13.2">
      <c r="O961" s="85"/>
    </row>
    <row r="962" spans="15:15" ht="13.2">
      <c r="O962" s="85"/>
    </row>
    <row r="963" spans="15:15" ht="13.2">
      <c r="O963" s="85"/>
    </row>
    <row r="964" spans="15:15" ht="13.2">
      <c r="O964" s="85"/>
    </row>
    <row r="965" spans="15:15" ht="13.2">
      <c r="O965" s="85"/>
    </row>
    <row r="966" spans="15:15" ht="13.2">
      <c r="O966" s="85"/>
    </row>
    <row r="967" spans="15:15" ht="13.2">
      <c r="O967" s="85"/>
    </row>
    <row r="968" spans="15:15" ht="13.2">
      <c r="O968" s="85"/>
    </row>
    <row r="969" spans="15:15" ht="13.2">
      <c r="O969" s="85"/>
    </row>
    <row r="970" spans="15:15" ht="13.2">
      <c r="O970" s="85"/>
    </row>
    <row r="971" spans="15:15" ht="13.2">
      <c r="O971" s="85"/>
    </row>
    <row r="972" spans="15:15" ht="13.2">
      <c r="O972" s="85"/>
    </row>
    <row r="973" spans="15:15" ht="13.2">
      <c r="O973" s="85"/>
    </row>
    <row r="974" spans="15:15" ht="13.2">
      <c r="O974" s="85"/>
    </row>
    <row r="975" spans="15:15" ht="13.2">
      <c r="O975" s="85"/>
    </row>
    <row r="976" spans="15:15" ht="13.2">
      <c r="O976" s="85"/>
    </row>
    <row r="977" spans="15:15" ht="13.2">
      <c r="O977" s="85"/>
    </row>
    <row r="978" spans="15:15" ht="13.2">
      <c r="O978" s="85"/>
    </row>
    <row r="979" spans="15:15" ht="13.2">
      <c r="O979" s="85"/>
    </row>
    <row r="980" spans="15:15" ht="13.2">
      <c r="O980" s="85"/>
    </row>
    <row r="981" spans="15:15" ht="13.2">
      <c r="O981" s="85"/>
    </row>
    <row r="982" spans="15:15" ht="13.2">
      <c r="O982" s="85"/>
    </row>
    <row r="983" spans="15:15" ht="13.2">
      <c r="O983" s="85"/>
    </row>
    <row r="984" spans="15:15" ht="13.2">
      <c r="O984" s="85"/>
    </row>
    <row r="985" spans="15:15" ht="13.2">
      <c r="O985" s="85"/>
    </row>
    <row r="986" spans="15:15" ht="13.2">
      <c r="O986" s="85"/>
    </row>
    <row r="987" spans="15:15" ht="13.2">
      <c r="O987" s="85"/>
    </row>
    <row r="988" spans="15:15" ht="13.2">
      <c r="O988" s="85"/>
    </row>
    <row r="989" spans="15:15" ht="13.2">
      <c r="O989" s="85"/>
    </row>
    <row r="990" spans="15:15" ht="13.2">
      <c r="O990" s="85"/>
    </row>
    <row r="991" spans="15:15" ht="13.2">
      <c r="O991" s="85"/>
    </row>
    <row r="992" spans="15:15" ht="13.2">
      <c r="O992" s="85"/>
    </row>
    <row r="993" spans="15:15" ht="13.2">
      <c r="O993" s="85"/>
    </row>
    <row r="994" spans="15:15" ht="13.2">
      <c r="O994" s="85"/>
    </row>
    <row r="995" spans="15:15" ht="13.2">
      <c r="O995" s="85"/>
    </row>
    <row r="996" spans="15:15" ht="13.2">
      <c r="O996" s="85"/>
    </row>
    <row r="997" spans="15:15" ht="13.2">
      <c r="O997" s="85"/>
    </row>
    <row r="998" spans="15:15" ht="13.2">
      <c r="O998" s="85"/>
    </row>
    <row r="999" spans="15:15" ht="13.2">
      <c r="O999" s="85"/>
    </row>
    <row r="1000" spans="15:15" ht="13.2">
      <c r="O1000" s="85"/>
    </row>
  </sheetData>
  <mergeCells count="111">
    <mergeCell ref="A50:B5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B4:B6"/>
    <mergeCell ref="C4:D4"/>
    <mergeCell ref="A38:B38"/>
    <mergeCell ref="C38:D38"/>
    <mergeCell ref="E38:F38"/>
    <mergeCell ref="A39:A49"/>
    <mergeCell ref="C39:D39"/>
    <mergeCell ref="E39:F39"/>
    <mergeCell ref="G39:H39"/>
    <mergeCell ref="I39:J39"/>
    <mergeCell ref="K39:L39"/>
    <mergeCell ref="M39:N39"/>
    <mergeCell ref="O39:P39"/>
    <mergeCell ref="Q39:R39"/>
    <mergeCell ref="C40:D40"/>
    <mergeCell ref="E40:F40"/>
    <mergeCell ref="G40:H40"/>
    <mergeCell ref="I40:J40"/>
    <mergeCell ref="K40:L40"/>
    <mergeCell ref="M40:N40"/>
    <mergeCell ref="O40:P40"/>
    <mergeCell ref="Q40:R40"/>
    <mergeCell ref="E4:F4"/>
    <mergeCell ref="G4:H4"/>
    <mergeCell ref="I4:J4"/>
    <mergeCell ref="K4:L4"/>
    <mergeCell ref="M4:N4"/>
    <mergeCell ref="O4:P4"/>
    <mergeCell ref="M38:N38"/>
    <mergeCell ref="Q38:R38"/>
    <mergeCell ref="A1:R1"/>
    <mergeCell ref="A2:R2"/>
    <mergeCell ref="A3:B3"/>
    <mergeCell ref="E3:H3"/>
    <mergeCell ref="I3:K3"/>
    <mergeCell ref="L3:T3"/>
    <mergeCell ref="A4:A6"/>
    <mergeCell ref="Q4:R4"/>
    <mergeCell ref="G49:H49"/>
    <mergeCell ref="I49:J49"/>
    <mergeCell ref="K49:L49"/>
    <mergeCell ref="M47:N47"/>
    <mergeCell ref="O47:P47"/>
    <mergeCell ref="M48:N48"/>
    <mergeCell ref="O48:P48"/>
    <mergeCell ref="Q48:R48"/>
    <mergeCell ref="M49:N49"/>
    <mergeCell ref="O49:P49"/>
    <mergeCell ref="Q49:R49"/>
    <mergeCell ref="G47:H47"/>
    <mergeCell ref="Q47:R47"/>
    <mergeCell ref="G45:H45"/>
    <mergeCell ref="I45:J45"/>
    <mergeCell ref="K45:L45"/>
    <mergeCell ref="M45:N45"/>
    <mergeCell ref="O45:P45"/>
    <mergeCell ref="Q45:R45"/>
    <mergeCell ref="I47:J47"/>
    <mergeCell ref="K47:L47"/>
    <mergeCell ref="G48:H48"/>
    <mergeCell ref="I48:J48"/>
    <mergeCell ref="K48:L48"/>
    <mergeCell ref="G46:H46"/>
    <mergeCell ref="I46:J46"/>
    <mergeCell ref="K46:L46"/>
    <mergeCell ref="M46:N46"/>
    <mergeCell ref="O46:P46"/>
    <mergeCell ref="Q46:R46"/>
    <mergeCell ref="M44:N44"/>
    <mergeCell ref="O44:P44"/>
    <mergeCell ref="G43:H43"/>
    <mergeCell ref="I43:J43"/>
    <mergeCell ref="K43:L43"/>
    <mergeCell ref="M43:N43"/>
    <mergeCell ref="O43:P43"/>
    <mergeCell ref="Q43:R43"/>
    <mergeCell ref="Q44:R44"/>
    <mergeCell ref="G44:H44"/>
    <mergeCell ref="I44:J44"/>
    <mergeCell ref="K44:L44"/>
    <mergeCell ref="C41:D41"/>
    <mergeCell ref="E41:F41"/>
    <mergeCell ref="I41:J41"/>
    <mergeCell ref="K41:L41"/>
    <mergeCell ref="M41:N41"/>
    <mergeCell ref="O41:P41"/>
    <mergeCell ref="Q41:R41"/>
    <mergeCell ref="G41:H41"/>
    <mergeCell ref="G42:H42"/>
    <mergeCell ref="I42:J42"/>
    <mergeCell ref="K42:L42"/>
    <mergeCell ref="M42:N42"/>
    <mergeCell ref="O42:P42"/>
    <mergeCell ref="Q42:R42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R60"/>
  <sheetViews>
    <sheetView workbookViewId="0"/>
  </sheetViews>
  <sheetFormatPr defaultColWidth="12.6640625" defaultRowHeight="15.75" customHeight="1"/>
  <cols>
    <col min="1" max="1" width="6.109375" customWidth="1"/>
    <col min="2" max="2" width="22.21875" customWidth="1"/>
    <col min="3" max="3" width="7.109375" customWidth="1"/>
    <col min="4" max="4" width="6.6640625" customWidth="1"/>
    <col min="5" max="5" width="7.21875" customWidth="1"/>
    <col min="6" max="6" width="6.77734375" customWidth="1"/>
    <col min="7" max="7" width="7.6640625" customWidth="1"/>
    <col min="8" max="8" width="6" customWidth="1"/>
    <col min="9" max="9" width="7.33203125" customWidth="1"/>
    <col min="10" max="10" width="6.6640625" customWidth="1"/>
    <col min="11" max="11" width="7.109375" customWidth="1"/>
    <col min="12" max="12" width="6.77734375" customWidth="1"/>
    <col min="13" max="13" width="8" customWidth="1"/>
    <col min="14" max="14" width="6" customWidth="1"/>
    <col min="15" max="15" width="7.33203125" customWidth="1"/>
    <col min="16" max="16" width="6.6640625" customWidth="1"/>
    <col min="17" max="17" width="8.77734375" customWidth="1"/>
    <col min="18" max="18" width="9.44140625" customWidth="1"/>
  </cols>
  <sheetData>
    <row r="1" spans="1:18" ht="15.75" customHeight="1">
      <c r="A1" s="452" t="s">
        <v>774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</row>
    <row r="2" spans="1:18" ht="15.75" customHeight="1">
      <c r="A2" s="453" t="s">
        <v>733</v>
      </c>
      <c r="B2" s="364"/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2"/>
    </row>
    <row r="3" spans="1:18" ht="15.75" customHeight="1">
      <c r="A3" s="440" t="s">
        <v>734</v>
      </c>
      <c r="B3" s="362"/>
      <c r="C3" s="311" t="s">
        <v>775</v>
      </c>
      <c r="D3" s="374" t="s">
        <v>776</v>
      </c>
      <c r="E3" s="366"/>
      <c r="F3" s="366"/>
      <c r="G3" s="366"/>
      <c r="H3" s="366"/>
      <c r="I3" s="366"/>
      <c r="J3" s="366"/>
      <c r="K3" s="366"/>
      <c r="L3" s="366"/>
      <c r="M3" s="312"/>
      <c r="N3" s="312"/>
      <c r="O3" s="312"/>
      <c r="P3" s="312"/>
      <c r="Q3" s="312"/>
      <c r="R3" s="313"/>
    </row>
    <row r="4" spans="1:18">
      <c r="A4" s="454" t="s">
        <v>7</v>
      </c>
      <c r="B4" s="455" t="s">
        <v>8</v>
      </c>
      <c r="C4" s="450" t="s">
        <v>9</v>
      </c>
      <c r="D4" s="362"/>
      <c r="E4" s="450" t="s">
        <v>10</v>
      </c>
      <c r="F4" s="362"/>
      <c r="G4" s="450" t="s">
        <v>11</v>
      </c>
      <c r="H4" s="362"/>
      <c r="I4" s="450" t="s">
        <v>777</v>
      </c>
      <c r="J4" s="362"/>
      <c r="K4" s="450" t="s">
        <v>778</v>
      </c>
      <c r="L4" s="362"/>
      <c r="M4" s="450" t="s">
        <v>779</v>
      </c>
      <c r="N4" s="362"/>
      <c r="O4" s="451" t="s">
        <v>780</v>
      </c>
      <c r="P4" s="362"/>
      <c r="Q4" s="456" t="s">
        <v>15</v>
      </c>
      <c r="R4" s="362"/>
    </row>
    <row r="5" spans="1:18" ht="15.75" customHeight="1">
      <c r="A5" s="381"/>
      <c r="B5" s="381"/>
      <c r="C5" s="314" t="s">
        <v>17</v>
      </c>
      <c r="D5" s="315">
        <v>40</v>
      </c>
      <c r="E5" s="314" t="s">
        <v>17</v>
      </c>
      <c r="F5" s="315">
        <v>40</v>
      </c>
      <c r="G5" s="314" t="s">
        <v>17</v>
      </c>
      <c r="H5" s="315">
        <v>40</v>
      </c>
      <c r="I5" s="314" t="s">
        <v>17</v>
      </c>
      <c r="J5" s="316">
        <v>40</v>
      </c>
      <c r="K5" s="314" t="s">
        <v>17</v>
      </c>
      <c r="L5" s="315">
        <v>35</v>
      </c>
      <c r="M5" s="314" t="s">
        <v>17</v>
      </c>
      <c r="N5" s="315">
        <v>40</v>
      </c>
      <c r="O5" s="314" t="s">
        <v>17</v>
      </c>
      <c r="P5" s="315">
        <v>35</v>
      </c>
      <c r="Q5" s="317" t="s">
        <v>17</v>
      </c>
      <c r="R5" s="318">
        <v>500</v>
      </c>
    </row>
    <row r="6" spans="1:18" ht="15.75" customHeight="1">
      <c r="A6" s="382"/>
      <c r="B6" s="382"/>
      <c r="C6" s="319" t="s">
        <v>18</v>
      </c>
      <c r="D6" s="320" t="s">
        <v>19</v>
      </c>
      <c r="E6" s="319" t="s">
        <v>18</v>
      </c>
      <c r="F6" s="320" t="s">
        <v>19</v>
      </c>
      <c r="G6" s="319" t="s">
        <v>18</v>
      </c>
      <c r="H6" s="320" t="s">
        <v>19</v>
      </c>
      <c r="I6" s="319" t="s">
        <v>18</v>
      </c>
      <c r="J6" s="320" t="s">
        <v>19</v>
      </c>
      <c r="K6" s="319" t="s">
        <v>18</v>
      </c>
      <c r="L6" s="320" t="s">
        <v>19</v>
      </c>
      <c r="M6" s="319" t="s">
        <v>18</v>
      </c>
      <c r="N6" s="320" t="s">
        <v>743</v>
      </c>
      <c r="O6" s="321" t="s">
        <v>781</v>
      </c>
      <c r="P6" s="320" t="s">
        <v>19</v>
      </c>
      <c r="Q6" s="322" t="s">
        <v>18</v>
      </c>
      <c r="R6" s="323" t="s">
        <v>19</v>
      </c>
    </row>
    <row r="7" spans="1:18" ht="15.75" customHeight="1">
      <c r="A7" s="291">
        <v>1</v>
      </c>
      <c r="B7" s="22" t="s">
        <v>782</v>
      </c>
      <c r="C7" s="319">
        <v>15</v>
      </c>
      <c r="D7" s="294">
        <f t="shared" ref="D7:D43" si="0">IF($B7="","",IF(C7=""," ",IF(C7="AB","AB",(C7/$D$5)*100)))</f>
        <v>37.5</v>
      </c>
      <c r="E7" s="324">
        <v>16</v>
      </c>
      <c r="F7" s="325">
        <f t="shared" ref="F7:F43" si="1">IF($B7="","",IF(E7=""," ",IF(E7="AB","AB",(E7/$F$5)*100)))</f>
        <v>40</v>
      </c>
      <c r="G7" s="22"/>
      <c r="H7" s="325" t="str">
        <f t="shared" ref="H7:H43" si="2">IF($B7="","",IF(G7=""," ",IF(G7="AB","AB",(G7/$H$5)*100)))</f>
        <v xml:space="preserve"> </v>
      </c>
      <c r="I7" s="319">
        <v>5</v>
      </c>
      <c r="J7" s="294">
        <f t="shared" ref="J7:J43" si="3">IF($B7="","",IF(I7=""," ",IF(I7="AB","AB",(I7/$J$5)*100)))</f>
        <v>12.5</v>
      </c>
      <c r="K7" s="326">
        <v>14</v>
      </c>
      <c r="L7" s="294">
        <f t="shared" ref="L7:L43" si="4">IF($B7="","",IF(K7=""," ",IF(K7="AB","AB",(K7/$L$5)*100)))</f>
        <v>40</v>
      </c>
      <c r="M7" s="319" t="s">
        <v>24</v>
      </c>
      <c r="N7" s="294" t="str">
        <f t="shared" ref="N7:N43" si="5">IF($B7="","",IF(M7=""," ",IF(M7="AB","AB",(M7/$N$5)*100)))</f>
        <v>AB</v>
      </c>
      <c r="O7" s="22"/>
      <c r="P7" s="294" t="str">
        <f t="shared" ref="P7:P45" si="6">IF($B7="","",IF(O7=""," ",IF(O7="AB","AB",(O7/$P$5)*100)))</f>
        <v xml:space="preserve"> </v>
      </c>
      <c r="Q7" s="327">
        <f t="shared" ref="Q7:Q42" si="7">SUM(D7,F7,H7,J7,L7,N7,P7)</f>
        <v>130</v>
      </c>
      <c r="R7" s="328">
        <f t="shared" ref="R7:R42" si="8">Q7*100/$R$5</f>
        <v>26</v>
      </c>
    </row>
    <row r="8" spans="1:18" ht="15.75" customHeight="1">
      <c r="A8" s="291">
        <v>2</v>
      </c>
      <c r="B8" s="22" t="s">
        <v>783</v>
      </c>
      <c r="C8" s="329">
        <v>21</v>
      </c>
      <c r="D8" s="294">
        <f t="shared" si="0"/>
        <v>52.5</v>
      </c>
      <c r="E8" s="324">
        <v>23</v>
      </c>
      <c r="F8" s="325">
        <f t="shared" si="1"/>
        <v>57.499999999999993</v>
      </c>
      <c r="G8" s="18"/>
      <c r="H8" s="325" t="str">
        <f t="shared" si="2"/>
        <v xml:space="preserve"> </v>
      </c>
      <c r="I8" s="329">
        <v>16</v>
      </c>
      <c r="J8" s="294">
        <f t="shared" si="3"/>
        <v>40</v>
      </c>
      <c r="K8" s="326">
        <v>22</v>
      </c>
      <c r="L8" s="294">
        <f t="shared" si="4"/>
        <v>62.857142857142854</v>
      </c>
      <c r="M8" s="329">
        <v>22</v>
      </c>
      <c r="N8" s="294">
        <f t="shared" si="5"/>
        <v>55.000000000000007</v>
      </c>
      <c r="O8" s="18"/>
      <c r="P8" s="294" t="str">
        <f t="shared" si="6"/>
        <v xml:space="preserve"> </v>
      </c>
      <c r="Q8" s="327">
        <f t="shared" si="7"/>
        <v>267.85714285714289</v>
      </c>
      <c r="R8" s="328">
        <f t="shared" si="8"/>
        <v>53.571428571428577</v>
      </c>
    </row>
    <row r="9" spans="1:18" ht="15.75" customHeight="1">
      <c r="A9" s="291">
        <v>3</v>
      </c>
      <c r="B9" s="177" t="s">
        <v>784</v>
      </c>
      <c r="C9" s="329">
        <v>18</v>
      </c>
      <c r="D9" s="294">
        <f t="shared" si="0"/>
        <v>45</v>
      </c>
      <c r="E9" s="324">
        <v>30</v>
      </c>
      <c r="F9" s="325">
        <f t="shared" si="1"/>
        <v>75</v>
      </c>
      <c r="G9" s="18"/>
      <c r="H9" s="325" t="str">
        <f t="shared" si="2"/>
        <v xml:space="preserve"> </v>
      </c>
      <c r="I9" s="329">
        <v>14</v>
      </c>
      <c r="J9" s="294">
        <f t="shared" si="3"/>
        <v>35</v>
      </c>
      <c r="K9" s="326">
        <v>18</v>
      </c>
      <c r="L9" s="294">
        <f t="shared" si="4"/>
        <v>51.428571428571423</v>
      </c>
      <c r="M9" s="329">
        <v>25</v>
      </c>
      <c r="N9" s="294">
        <f t="shared" si="5"/>
        <v>62.5</v>
      </c>
      <c r="O9" s="18"/>
      <c r="P9" s="294" t="str">
        <f t="shared" si="6"/>
        <v xml:space="preserve"> </v>
      </c>
      <c r="Q9" s="327">
        <f t="shared" si="7"/>
        <v>268.92857142857144</v>
      </c>
      <c r="R9" s="328">
        <f t="shared" si="8"/>
        <v>53.785714285714292</v>
      </c>
    </row>
    <row r="10" spans="1:18" ht="15.75" customHeight="1">
      <c r="A10" s="291">
        <v>4</v>
      </c>
      <c r="B10" s="177" t="s">
        <v>785</v>
      </c>
      <c r="C10" s="329">
        <v>31</v>
      </c>
      <c r="D10" s="294">
        <f t="shared" si="0"/>
        <v>77.5</v>
      </c>
      <c r="E10" s="324">
        <v>37</v>
      </c>
      <c r="F10" s="325">
        <f t="shared" si="1"/>
        <v>92.5</v>
      </c>
      <c r="G10" s="18"/>
      <c r="H10" s="325" t="str">
        <f t="shared" si="2"/>
        <v xml:space="preserve"> </v>
      </c>
      <c r="I10" s="329">
        <v>23</v>
      </c>
      <c r="J10" s="294">
        <f t="shared" si="3"/>
        <v>57.499999999999993</v>
      </c>
      <c r="K10" s="326">
        <v>24</v>
      </c>
      <c r="L10" s="294">
        <f t="shared" si="4"/>
        <v>68.571428571428569</v>
      </c>
      <c r="M10" s="329">
        <v>25</v>
      </c>
      <c r="N10" s="294">
        <f t="shared" si="5"/>
        <v>62.5</v>
      </c>
      <c r="O10" s="18"/>
      <c r="P10" s="294" t="str">
        <f t="shared" si="6"/>
        <v xml:space="preserve"> </v>
      </c>
      <c r="Q10" s="327">
        <f t="shared" si="7"/>
        <v>358.57142857142856</v>
      </c>
      <c r="R10" s="328">
        <f t="shared" si="8"/>
        <v>71.714285714285708</v>
      </c>
    </row>
    <row r="11" spans="1:18" ht="15.75" customHeight="1">
      <c r="A11" s="291">
        <v>5</v>
      </c>
      <c r="B11" s="177" t="s">
        <v>786</v>
      </c>
      <c r="C11" s="329">
        <v>23</v>
      </c>
      <c r="D11" s="294">
        <f t="shared" si="0"/>
        <v>57.499999999999993</v>
      </c>
      <c r="E11" s="324">
        <v>37</v>
      </c>
      <c r="F11" s="325">
        <f t="shared" si="1"/>
        <v>92.5</v>
      </c>
      <c r="G11" s="18"/>
      <c r="H11" s="325" t="str">
        <f t="shared" si="2"/>
        <v xml:space="preserve"> </v>
      </c>
      <c r="I11" s="329">
        <v>9</v>
      </c>
      <c r="J11" s="294">
        <f t="shared" si="3"/>
        <v>22.5</v>
      </c>
      <c r="K11" s="326">
        <v>15</v>
      </c>
      <c r="L11" s="294">
        <f t="shared" si="4"/>
        <v>42.857142857142854</v>
      </c>
      <c r="M11" s="329" t="s">
        <v>24</v>
      </c>
      <c r="N11" s="294" t="str">
        <f t="shared" si="5"/>
        <v>AB</v>
      </c>
      <c r="O11" s="18"/>
      <c r="P11" s="294" t="str">
        <f t="shared" si="6"/>
        <v xml:space="preserve"> </v>
      </c>
      <c r="Q11" s="327">
        <f t="shared" si="7"/>
        <v>215.35714285714286</v>
      </c>
      <c r="R11" s="328">
        <f t="shared" si="8"/>
        <v>43.071428571428569</v>
      </c>
    </row>
    <row r="12" spans="1:18" ht="15.75" customHeight="1">
      <c r="A12" s="291">
        <v>6</v>
      </c>
      <c r="B12" s="177" t="s">
        <v>787</v>
      </c>
      <c r="C12" s="329">
        <v>22</v>
      </c>
      <c r="D12" s="294">
        <f t="shared" si="0"/>
        <v>55.000000000000007</v>
      </c>
      <c r="E12" s="324">
        <v>21</v>
      </c>
      <c r="F12" s="325">
        <f t="shared" si="1"/>
        <v>52.5</v>
      </c>
      <c r="G12" s="18"/>
      <c r="H12" s="325" t="str">
        <f t="shared" si="2"/>
        <v xml:space="preserve"> </v>
      </c>
      <c r="I12" s="329">
        <v>17</v>
      </c>
      <c r="J12" s="294">
        <f t="shared" si="3"/>
        <v>42.5</v>
      </c>
      <c r="K12" s="326">
        <v>22</v>
      </c>
      <c r="L12" s="294">
        <f t="shared" si="4"/>
        <v>62.857142857142854</v>
      </c>
      <c r="M12" s="329">
        <v>12</v>
      </c>
      <c r="N12" s="294">
        <f t="shared" si="5"/>
        <v>30</v>
      </c>
      <c r="O12" s="18"/>
      <c r="P12" s="294" t="str">
        <f t="shared" si="6"/>
        <v xml:space="preserve"> </v>
      </c>
      <c r="Q12" s="327">
        <f t="shared" si="7"/>
        <v>242.85714285714286</v>
      </c>
      <c r="R12" s="328">
        <f t="shared" si="8"/>
        <v>48.571428571428569</v>
      </c>
    </row>
    <row r="13" spans="1:18" ht="15.75" customHeight="1">
      <c r="A13" s="291">
        <v>7</v>
      </c>
      <c r="B13" s="177" t="s">
        <v>788</v>
      </c>
      <c r="C13" s="329">
        <v>13</v>
      </c>
      <c r="D13" s="294">
        <f t="shared" si="0"/>
        <v>32.5</v>
      </c>
      <c r="E13" s="324">
        <v>23</v>
      </c>
      <c r="F13" s="325">
        <f t="shared" si="1"/>
        <v>57.499999999999993</v>
      </c>
      <c r="G13" s="18"/>
      <c r="H13" s="325" t="str">
        <f t="shared" si="2"/>
        <v xml:space="preserve"> </v>
      </c>
      <c r="I13" s="329">
        <v>3</v>
      </c>
      <c r="J13" s="294">
        <f t="shared" si="3"/>
        <v>7.5</v>
      </c>
      <c r="K13" s="326">
        <v>9</v>
      </c>
      <c r="L13" s="294">
        <f t="shared" si="4"/>
        <v>25.714285714285712</v>
      </c>
      <c r="M13" s="329">
        <v>3</v>
      </c>
      <c r="N13" s="294">
        <f t="shared" si="5"/>
        <v>7.5</v>
      </c>
      <c r="O13" s="18"/>
      <c r="P13" s="294" t="str">
        <f t="shared" si="6"/>
        <v xml:space="preserve"> </v>
      </c>
      <c r="Q13" s="327">
        <f t="shared" si="7"/>
        <v>130.71428571428572</v>
      </c>
      <c r="R13" s="328">
        <f t="shared" si="8"/>
        <v>26.142857142857146</v>
      </c>
    </row>
    <row r="14" spans="1:18" ht="15.75" customHeight="1">
      <c r="A14" s="291">
        <v>8</v>
      </c>
      <c r="B14" s="177" t="s">
        <v>789</v>
      </c>
      <c r="C14" s="329">
        <v>33</v>
      </c>
      <c r="D14" s="294">
        <f t="shared" si="0"/>
        <v>82.5</v>
      </c>
      <c r="E14" s="22"/>
      <c r="F14" s="325" t="str">
        <f t="shared" si="1"/>
        <v xml:space="preserve"> </v>
      </c>
      <c r="G14" s="18"/>
      <c r="H14" s="325" t="str">
        <f t="shared" si="2"/>
        <v xml:space="preserve"> </v>
      </c>
      <c r="I14" s="329">
        <v>34</v>
      </c>
      <c r="J14" s="294">
        <f t="shared" si="3"/>
        <v>85</v>
      </c>
      <c r="K14" s="326">
        <v>28</v>
      </c>
      <c r="L14" s="294">
        <f t="shared" si="4"/>
        <v>80</v>
      </c>
      <c r="M14" s="329">
        <v>35</v>
      </c>
      <c r="N14" s="294">
        <f t="shared" si="5"/>
        <v>87.5</v>
      </c>
      <c r="O14" s="329">
        <v>26</v>
      </c>
      <c r="P14" s="294">
        <f t="shared" si="6"/>
        <v>74.285714285714292</v>
      </c>
      <c r="Q14" s="327">
        <f t="shared" si="7"/>
        <v>409.28571428571428</v>
      </c>
      <c r="R14" s="328">
        <f t="shared" si="8"/>
        <v>81.857142857142861</v>
      </c>
    </row>
    <row r="15" spans="1:18" ht="15.75" customHeight="1">
      <c r="A15" s="291">
        <v>9</v>
      </c>
      <c r="B15" s="177" t="s">
        <v>790</v>
      </c>
      <c r="C15" s="329">
        <v>31</v>
      </c>
      <c r="D15" s="294">
        <f t="shared" si="0"/>
        <v>77.5</v>
      </c>
      <c r="E15" s="22"/>
      <c r="F15" s="325" t="str">
        <f t="shared" si="1"/>
        <v xml:space="preserve"> </v>
      </c>
      <c r="G15" s="18"/>
      <c r="H15" s="325" t="str">
        <f t="shared" si="2"/>
        <v xml:space="preserve"> </v>
      </c>
      <c r="I15" s="329">
        <v>14</v>
      </c>
      <c r="J15" s="294">
        <f t="shared" si="3"/>
        <v>35</v>
      </c>
      <c r="K15" s="326">
        <v>20</v>
      </c>
      <c r="L15" s="294">
        <f t="shared" si="4"/>
        <v>57.142857142857139</v>
      </c>
      <c r="M15" s="329">
        <v>13</v>
      </c>
      <c r="N15" s="294">
        <f t="shared" si="5"/>
        <v>32.5</v>
      </c>
      <c r="O15" s="329">
        <v>23</v>
      </c>
      <c r="P15" s="294">
        <f t="shared" si="6"/>
        <v>65.714285714285708</v>
      </c>
      <c r="Q15" s="327">
        <f t="shared" si="7"/>
        <v>267.85714285714283</v>
      </c>
      <c r="R15" s="328">
        <f t="shared" si="8"/>
        <v>53.571428571428562</v>
      </c>
    </row>
    <row r="16" spans="1:18" ht="15.75" customHeight="1">
      <c r="A16" s="291">
        <v>10</v>
      </c>
      <c r="B16" s="177" t="s">
        <v>791</v>
      </c>
      <c r="C16" s="329">
        <v>26</v>
      </c>
      <c r="D16" s="294">
        <f t="shared" si="0"/>
        <v>65</v>
      </c>
      <c r="E16" s="22"/>
      <c r="F16" s="325" t="str">
        <f t="shared" si="1"/>
        <v xml:space="preserve"> </v>
      </c>
      <c r="G16" s="18"/>
      <c r="H16" s="325" t="str">
        <f t="shared" si="2"/>
        <v xml:space="preserve"> </v>
      </c>
      <c r="I16" s="329">
        <v>2</v>
      </c>
      <c r="J16" s="294">
        <f t="shared" si="3"/>
        <v>5</v>
      </c>
      <c r="K16" s="326">
        <v>20</v>
      </c>
      <c r="L16" s="294">
        <f t="shared" si="4"/>
        <v>57.142857142857139</v>
      </c>
      <c r="M16" s="329">
        <v>6</v>
      </c>
      <c r="N16" s="294">
        <f t="shared" si="5"/>
        <v>15</v>
      </c>
      <c r="O16" s="329">
        <v>13</v>
      </c>
      <c r="P16" s="294">
        <f t="shared" si="6"/>
        <v>37.142857142857146</v>
      </c>
      <c r="Q16" s="327">
        <f t="shared" si="7"/>
        <v>179.28571428571428</v>
      </c>
      <c r="R16" s="328">
        <f t="shared" si="8"/>
        <v>35.857142857142854</v>
      </c>
    </row>
    <row r="17" spans="1:18" ht="15.75" customHeight="1">
      <c r="A17" s="291">
        <v>11</v>
      </c>
      <c r="B17" s="177" t="s">
        <v>792</v>
      </c>
      <c r="C17" s="329">
        <v>20</v>
      </c>
      <c r="D17" s="294">
        <f t="shared" si="0"/>
        <v>50</v>
      </c>
      <c r="E17" s="22"/>
      <c r="F17" s="325" t="str">
        <f t="shared" si="1"/>
        <v xml:space="preserve"> </v>
      </c>
      <c r="G17" s="18"/>
      <c r="H17" s="325" t="str">
        <f t="shared" si="2"/>
        <v xml:space="preserve"> </v>
      </c>
      <c r="I17" s="329">
        <v>8</v>
      </c>
      <c r="J17" s="294">
        <f t="shared" si="3"/>
        <v>20</v>
      </c>
      <c r="K17" s="326">
        <v>15</v>
      </c>
      <c r="L17" s="294">
        <f t="shared" si="4"/>
        <v>42.857142857142854</v>
      </c>
      <c r="M17" s="329">
        <v>10</v>
      </c>
      <c r="N17" s="294">
        <f t="shared" si="5"/>
        <v>25</v>
      </c>
      <c r="O17" s="330">
        <v>7</v>
      </c>
      <c r="P17" s="294">
        <f t="shared" si="6"/>
        <v>20</v>
      </c>
      <c r="Q17" s="327">
        <f t="shared" si="7"/>
        <v>157.85714285714286</v>
      </c>
      <c r="R17" s="328">
        <f t="shared" si="8"/>
        <v>31.571428571428573</v>
      </c>
    </row>
    <row r="18" spans="1:18" ht="15.75" customHeight="1">
      <c r="A18" s="291">
        <v>12</v>
      </c>
      <c r="B18" s="177" t="s">
        <v>793</v>
      </c>
      <c r="C18" s="329">
        <v>24</v>
      </c>
      <c r="D18" s="294">
        <f t="shared" si="0"/>
        <v>60</v>
      </c>
      <c r="E18" s="18"/>
      <c r="F18" s="325" t="str">
        <f t="shared" si="1"/>
        <v xml:space="preserve"> </v>
      </c>
      <c r="G18" s="18"/>
      <c r="H18" s="325" t="str">
        <f t="shared" si="2"/>
        <v xml:space="preserve"> </v>
      </c>
      <c r="I18" s="329">
        <v>5</v>
      </c>
      <c r="J18" s="294">
        <f t="shared" si="3"/>
        <v>12.5</v>
      </c>
      <c r="K18" s="326">
        <v>13</v>
      </c>
      <c r="L18" s="294">
        <f t="shared" si="4"/>
        <v>37.142857142857146</v>
      </c>
      <c r="M18" s="329">
        <v>12</v>
      </c>
      <c r="N18" s="294">
        <f t="shared" si="5"/>
        <v>30</v>
      </c>
      <c r="O18" s="330">
        <v>16</v>
      </c>
      <c r="P18" s="294">
        <f t="shared" si="6"/>
        <v>45.714285714285715</v>
      </c>
      <c r="Q18" s="327">
        <f t="shared" si="7"/>
        <v>185.35714285714286</v>
      </c>
      <c r="R18" s="328">
        <f t="shared" si="8"/>
        <v>37.071428571428569</v>
      </c>
    </row>
    <row r="19" spans="1:18" ht="15.75" customHeight="1">
      <c r="A19" s="291">
        <v>13</v>
      </c>
      <c r="B19" s="177" t="s">
        <v>794</v>
      </c>
      <c r="C19" s="329">
        <v>34</v>
      </c>
      <c r="D19" s="294">
        <f t="shared" si="0"/>
        <v>85</v>
      </c>
      <c r="E19" s="18"/>
      <c r="F19" s="325" t="str">
        <f t="shared" si="1"/>
        <v xml:space="preserve"> </v>
      </c>
      <c r="G19" s="18"/>
      <c r="H19" s="325" t="str">
        <f t="shared" si="2"/>
        <v xml:space="preserve"> </v>
      </c>
      <c r="I19" s="329">
        <v>7</v>
      </c>
      <c r="J19" s="294">
        <f t="shared" si="3"/>
        <v>17.5</v>
      </c>
      <c r="K19" s="326">
        <v>18</v>
      </c>
      <c r="L19" s="294">
        <f t="shared" si="4"/>
        <v>51.428571428571423</v>
      </c>
      <c r="M19" s="329">
        <v>12</v>
      </c>
      <c r="N19" s="294">
        <f t="shared" si="5"/>
        <v>30</v>
      </c>
      <c r="O19" s="330">
        <v>20</v>
      </c>
      <c r="P19" s="294">
        <f t="shared" si="6"/>
        <v>57.142857142857139</v>
      </c>
      <c r="Q19" s="327">
        <f t="shared" si="7"/>
        <v>241.07142857142856</v>
      </c>
      <c r="R19" s="328">
        <f t="shared" si="8"/>
        <v>48.214285714285708</v>
      </c>
    </row>
    <row r="20" spans="1:18" ht="15.75" customHeight="1">
      <c r="A20" s="291">
        <v>14</v>
      </c>
      <c r="B20" s="177" t="s">
        <v>795</v>
      </c>
      <c r="C20" s="329">
        <v>30</v>
      </c>
      <c r="D20" s="294">
        <f t="shared" si="0"/>
        <v>75</v>
      </c>
      <c r="E20" s="18"/>
      <c r="F20" s="325" t="str">
        <f t="shared" si="1"/>
        <v xml:space="preserve"> </v>
      </c>
      <c r="G20" s="18"/>
      <c r="H20" s="325" t="str">
        <f t="shared" si="2"/>
        <v xml:space="preserve"> </v>
      </c>
      <c r="I20" s="329">
        <v>19</v>
      </c>
      <c r="J20" s="294">
        <f t="shared" si="3"/>
        <v>47.5</v>
      </c>
      <c r="K20" s="326">
        <v>18</v>
      </c>
      <c r="L20" s="294">
        <f t="shared" si="4"/>
        <v>51.428571428571423</v>
      </c>
      <c r="M20" s="329">
        <v>12</v>
      </c>
      <c r="N20" s="294">
        <f t="shared" si="5"/>
        <v>30</v>
      </c>
      <c r="O20" s="330">
        <v>18</v>
      </c>
      <c r="P20" s="294">
        <f t="shared" si="6"/>
        <v>51.428571428571423</v>
      </c>
      <c r="Q20" s="327">
        <f t="shared" si="7"/>
        <v>255.35714285714283</v>
      </c>
      <c r="R20" s="328">
        <f t="shared" si="8"/>
        <v>51.071428571428562</v>
      </c>
    </row>
    <row r="21" spans="1:18" ht="15.75" customHeight="1">
      <c r="A21" s="291">
        <v>15</v>
      </c>
      <c r="B21" s="177" t="s">
        <v>796</v>
      </c>
      <c r="C21" s="329">
        <v>26</v>
      </c>
      <c r="D21" s="294">
        <f t="shared" si="0"/>
        <v>65</v>
      </c>
      <c r="E21" s="18"/>
      <c r="F21" s="325" t="str">
        <f t="shared" si="1"/>
        <v xml:space="preserve"> </v>
      </c>
      <c r="G21" s="22"/>
      <c r="H21" s="325" t="str">
        <f t="shared" si="2"/>
        <v xml:space="preserve"> </v>
      </c>
      <c r="I21" s="329">
        <v>13</v>
      </c>
      <c r="J21" s="294">
        <f t="shared" si="3"/>
        <v>32.5</v>
      </c>
      <c r="K21" s="326">
        <v>14</v>
      </c>
      <c r="L21" s="294">
        <f t="shared" si="4"/>
        <v>40</v>
      </c>
      <c r="M21" s="329">
        <v>15</v>
      </c>
      <c r="N21" s="294">
        <f t="shared" si="5"/>
        <v>37.5</v>
      </c>
      <c r="O21" s="324">
        <v>14</v>
      </c>
      <c r="P21" s="294">
        <f t="shared" si="6"/>
        <v>40</v>
      </c>
      <c r="Q21" s="327">
        <f t="shared" si="7"/>
        <v>215</v>
      </c>
      <c r="R21" s="328">
        <f t="shared" si="8"/>
        <v>43</v>
      </c>
    </row>
    <row r="22" spans="1:18" ht="15.75" customHeight="1">
      <c r="A22" s="291">
        <v>16</v>
      </c>
      <c r="B22" s="177" t="s">
        <v>797</v>
      </c>
      <c r="C22" s="329">
        <v>33</v>
      </c>
      <c r="D22" s="294">
        <f t="shared" si="0"/>
        <v>82.5</v>
      </c>
      <c r="E22" s="18"/>
      <c r="F22" s="325" t="str">
        <f t="shared" si="1"/>
        <v xml:space="preserve"> </v>
      </c>
      <c r="G22" s="22"/>
      <c r="H22" s="325" t="str">
        <f t="shared" si="2"/>
        <v xml:space="preserve"> </v>
      </c>
      <c r="I22" s="329">
        <v>16</v>
      </c>
      <c r="J22" s="294">
        <f t="shared" si="3"/>
        <v>40</v>
      </c>
      <c r="K22" s="326">
        <v>26</v>
      </c>
      <c r="L22" s="294">
        <f t="shared" si="4"/>
        <v>74.285714285714292</v>
      </c>
      <c r="M22" s="329">
        <v>27</v>
      </c>
      <c r="N22" s="294">
        <f t="shared" si="5"/>
        <v>67.5</v>
      </c>
      <c r="O22" s="324">
        <v>25</v>
      </c>
      <c r="P22" s="294">
        <f t="shared" si="6"/>
        <v>71.428571428571431</v>
      </c>
      <c r="Q22" s="327">
        <f t="shared" si="7"/>
        <v>335.71428571428572</v>
      </c>
      <c r="R22" s="328">
        <f t="shared" si="8"/>
        <v>67.142857142857139</v>
      </c>
    </row>
    <row r="23" spans="1:18" ht="15.75" customHeight="1">
      <c r="A23" s="291">
        <v>17</v>
      </c>
      <c r="B23" s="177" t="s">
        <v>798</v>
      </c>
      <c r="C23" s="329">
        <v>33</v>
      </c>
      <c r="D23" s="294">
        <f t="shared" si="0"/>
        <v>82.5</v>
      </c>
      <c r="E23" s="18"/>
      <c r="F23" s="325" t="str">
        <f t="shared" si="1"/>
        <v xml:space="preserve"> </v>
      </c>
      <c r="G23" s="22"/>
      <c r="H23" s="325" t="str">
        <f t="shared" si="2"/>
        <v xml:space="preserve"> </v>
      </c>
      <c r="I23" s="329">
        <v>23</v>
      </c>
      <c r="J23" s="294">
        <f t="shared" si="3"/>
        <v>57.499999999999993</v>
      </c>
      <c r="K23" s="326">
        <v>30</v>
      </c>
      <c r="L23" s="294">
        <f t="shared" si="4"/>
        <v>85.714285714285708</v>
      </c>
      <c r="M23" s="329">
        <v>26</v>
      </c>
      <c r="N23" s="294">
        <f t="shared" si="5"/>
        <v>65</v>
      </c>
      <c r="O23" s="324">
        <v>24</v>
      </c>
      <c r="P23" s="294">
        <f t="shared" si="6"/>
        <v>68.571428571428569</v>
      </c>
      <c r="Q23" s="327">
        <f t="shared" si="7"/>
        <v>359.28571428571428</v>
      </c>
      <c r="R23" s="328">
        <f t="shared" si="8"/>
        <v>71.857142857142861</v>
      </c>
    </row>
    <row r="24" spans="1:18" ht="15.75" customHeight="1">
      <c r="A24" s="291">
        <v>18</v>
      </c>
      <c r="B24" s="177" t="s">
        <v>799</v>
      </c>
      <c r="C24" s="329">
        <v>30</v>
      </c>
      <c r="D24" s="294">
        <f t="shared" si="0"/>
        <v>75</v>
      </c>
      <c r="E24" s="18"/>
      <c r="F24" s="325" t="str">
        <f t="shared" si="1"/>
        <v xml:space="preserve"> </v>
      </c>
      <c r="G24" s="22"/>
      <c r="H24" s="325" t="str">
        <f t="shared" si="2"/>
        <v xml:space="preserve"> </v>
      </c>
      <c r="I24" s="329">
        <v>23</v>
      </c>
      <c r="J24" s="294">
        <f t="shared" si="3"/>
        <v>57.499999999999993</v>
      </c>
      <c r="K24" s="326">
        <v>24</v>
      </c>
      <c r="L24" s="294">
        <f t="shared" si="4"/>
        <v>68.571428571428569</v>
      </c>
      <c r="M24" s="329">
        <v>17</v>
      </c>
      <c r="N24" s="294">
        <f t="shared" si="5"/>
        <v>42.5</v>
      </c>
      <c r="O24" s="324">
        <v>22</v>
      </c>
      <c r="P24" s="294">
        <f t="shared" si="6"/>
        <v>62.857142857142854</v>
      </c>
      <c r="Q24" s="327">
        <f t="shared" si="7"/>
        <v>306.42857142857139</v>
      </c>
      <c r="R24" s="328">
        <f t="shared" si="8"/>
        <v>61.285714285714278</v>
      </c>
    </row>
    <row r="25" spans="1:18" ht="15.75" customHeight="1">
      <c r="A25" s="291">
        <v>19</v>
      </c>
      <c r="B25" s="177" t="s">
        <v>800</v>
      </c>
      <c r="C25" s="329">
        <v>21</v>
      </c>
      <c r="D25" s="294">
        <f t="shared" si="0"/>
        <v>52.5</v>
      </c>
      <c r="E25" s="18"/>
      <c r="F25" s="325" t="str">
        <f t="shared" si="1"/>
        <v xml:space="preserve"> </v>
      </c>
      <c r="G25" s="22"/>
      <c r="H25" s="325" t="str">
        <f t="shared" si="2"/>
        <v xml:space="preserve"> </v>
      </c>
      <c r="I25" s="329">
        <v>9</v>
      </c>
      <c r="J25" s="294">
        <f t="shared" si="3"/>
        <v>22.5</v>
      </c>
      <c r="K25" s="326">
        <v>15</v>
      </c>
      <c r="L25" s="294">
        <f t="shared" si="4"/>
        <v>42.857142857142854</v>
      </c>
      <c r="M25" s="329">
        <v>20</v>
      </c>
      <c r="N25" s="294">
        <f t="shared" si="5"/>
        <v>50</v>
      </c>
      <c r="O25" s="324">
        <v>14</v>
      </c>
      <c r="P25" s="294">
        <f t="shared" si="6"/>
        <v>40</v>
      </c>
      <c r="Q25" s="327">
        <f t="shared" si="7"/>
        <v>207.85714285714286</v>
      </c>
      <c r="R25" s="328">
        <f t="shared" si="8"/>
        <v>41.571428571428569</v>
      </c>
    </row>
    <row r="26" spans="1:18" ht="15.75" customHeight="1">
      <c r="A26" s="291">
        <v>20</v>
      </c>
      <c r="B26" s="177" t="s">
        <v>801</v>
      </c>
      <c r="C26" s="329">
        <v>33</v>
      </c>
      <c r="D26" s="294">
        <f t="shared" si="0"/>
        <v>82.5</v>
      </c>
      <c r="E26" s="18"/>
      <c r="F26" s="325" t="str">
        <f t="shared" si="1"/>
        <v xml:space="preserve"> </v>
      </c>
      <c r="G26" s="22"/>
      <c r="H26" s="325" t="str">
        <f t="shared" si="2"/>
        <v xml:space="preserve"> </v>
      </c>
      <c r="I26" s="329">
        <v>21</v>
      </c>
      <c r="J26" s="294">
        <f t="shared" si="3"/>
        <v>52.5</v>
      </c>
      <c r="K26" s="326">
        <v>20</v>
      </c>
      <c r="L26" s="294">
        <f t="shared" si="4"/>
        <v>57.142857142857139</v>
      </c>
      <c r="M26" s="329">
        <v>19</v>
      </c>
      <c r="N26" s="294">
        <f t="shared" si="5"/>
        <v>47.5</v>
      </c>
      <c r="O26" s="324">
        <v>23</v>
      </c>
      <c r="P26" s="294">
        <f t="shared" si="6"/>
        <v>65.714285714285708</v>
      </c>
      <c r="Q26" s="327">
        <f t="shared" si="7"/>
        <v>305.35714285714283</v>
      </c>
      <c r="R26" s="328">
        <f t="shared" si="8"/>
        <v>61.071428571428562</v>
      </c>
    </row>
    <row r="27" spans="1:18" ht="22.8">
      <c r="A27" s="291">
        <v>21</v>
      </c>
      <c r="B27" s="177" t="s">
        <v>802</v>
      </c>
      <c r="C27" s="329">
        <v>31</v>
      </c>
      <c r="D27" s="294">
        <f t="shared" si="0"/>
        <v>77.5</v>
      </c>
      <c r="E27" s="18"/>
      <c r="F27" s="325" t="str">
        <f t="shared" si="1"/>
        <v xml:space="preserve"> </v>
      </c>
      <c r="G27" s="22"/>
      <c r="H27" s="325" t="str">
        <f t="shared" si="2"/>
        <v xml:space="preserve"> </v>
      </c>
      <c r="I27" s="329">
        <v>14</v>
      </c>
      <c r="J27" s="294">
        <f t="shared" si="3"/>
        <v>35</v>
      </c>
      <c r="K27" s="326">
        <v>13</v>
      </c>
      <c r="L27" s="294">
        <f t="shared" si="4"/>
        <v>37.142857142857146</v>
      </c>
      <c r="M27" s="329">
        <v>8</v>
      </c>
      <c r="N27" s="294">
        <f t="shared" si="5"/>
        <v>20</v>
      </c>
      <c r="O27" s="324">
        <v>13</v>
      </c>
      <c r="P27" s="294">
        <f t="shared" si="6"/>
        <v>37.142857142857146</v>
      </c>
      <c r="Q27" s="327">
        <f t="shared" si="7"/>
        <v>206.78571428571428</v>
      </c>
      <c r="R27" s="328">
        <f t="shared" si="8"/>
        <v>41.357142857142854</v>
      </c>
    </row>
    <row r="28" spans="1:18" ht="22.8">
      <c r="A28" s="291">
        <v>22</v>
      </c>
      <c r="B28" s="331" t="s">
        <v>803</v>
      </c>
      <c r="C28" s="329">
        <v>26</v>
      </c>
      <c r="D28" s="294">
        <f t="shared" si="0"/>
        <v>65</v>
      </c>
      <c r="E28" s="18"/>
      <c r="F28" s="325" t="str">
        <f t="shared" si="1"/>
        <v xml:space="preserve"> </v>
      </c>
      <c r="G28" s="22"/>
      <c r="H28" s="325" t="str">
        <f t="shared" si="2"/>
        <v xml:space="preserve"> </v>
      </c>
      <c r="I28" s="329">
        <v>22</v>
      </c>
      <c r="J28" s="294">
        <f t="shared" si="3"/>
        <v>55.000000000000007</v>
      </c>
      <c r="K28" s="326">
        <v>26</v>
      </c>
      <c r="L28" s="294">
        <f t="shared" si="4"/>
        <v>74.285714285714292</v>
      </c>
      <c r="M28" s="329">
        <v>28</v>
      </c>
      <c r="N28" s="294">
        <f t="shared" si="5"/>
        <v>70</v>
      </c>
      <c r="O28" s="324">
        <v>30</v>
      </c>
      <c r="P28" s="294">
        <f t="shared" si="6"/>
        <v>85.714285714285708</v>
      </c>
      <c r="Q28" s="327">
        <f t="shared" si="7"/>
        <v>350</v>
      </c>
      <c r="R28" s="328">
        <f t="shared" si="8"/>
        <v>70</v>
      </c>
    </row>
    <row r="29" spans="1:18" ht="22.8">
      <c r="A29" s="291">
        <v>23</v>
      </c>
      <c r="B29" s="177" t="s">
        <v>804</v>
      </c>
      <c r="C29" s="329">
        <v>33</v>
      </c>
      <c r="D29" s="294">
        <f t="shared" si="0"/>
        <v>82.5</v>
      </c>
      <c r="E29" s="18"/>
      <c r="F29" s="325" t="str">
        <f t="shared" si="1"/>
        <v xml:space="preserve"> </v>
      </c>
      <c r="G29" s="22"/>
      <c r="H29" s="325" t="str">
        <f t="shared" si="2"/>
        <v xml:space="preserve"> </v>
      </c>
      <c r="I29" s="329">
        <v>22</v>
      </c>
      <c r="J29" s="294">
        <f t="shared" si="3"/>
        <v>55.000000000000007</v>
      </c>
      <c r="K29" s="326">
        <v>15</v>
      </c>
      <c r="L29" s="294">
        <f t="shared" si="4"/>
        <v>42.857142857142854</v>
      </c>
      <c r="M29" s="329">
        <v>27</v>
      </c>
      <c r="N29" s="294">
        <f t="shared" si="5"/>
        <v>67.5</v>
      </c>
      <c r="O29" s="324">
        <v>27</v>
      </c>
      <c r="P29" s="294">
        <f t="shared" si="6"/>
        <v>77.142857142857153</v>
      </c>
      <c r="Q29" s="327">
        <f t="shared" si="7"/>
        <v>325</v>
      </c>
      <c r="R29" s="328">
        <f t="shared" si="8"/>
        <v>65</v>
      </c>
    </row>
    <row r="30" spans="1:18" ht="22.8">
      <c r="A30" s="291">
        <v>24</v>
      </c>
      <c r="B30" s="177" t="s">
        <v>805</v>
      </c>
      <c r="C30" s="329">
        <v>17</v>
      </c>
      <c r="D30" s="294">
        <f t="shared" si="0"/>
        <v>42.5</v>
      </c>
      <c r="E30" s="18"/>
      <c r="F30" s="325" t="str">
        <f t="shared" si="1"/>
        <v xml:space="preserve"> </v>
      </c>
      <c r="G30" s="22"/>
      <c r="H30" s="325" t="str">
        <f t="shared" si="2"/>
        <v xml:space="preserve"> </v>
      </c>
      <c r="I30" s="329">
        <v>10</v>
      </c>
      <c r="J30" s="294">
        <f t="shared" si="3"/>
        <v>25</v>
      </c>
      <c r="K30" s="326">
        <v>13</v>
      </c>
      <c r="L30" s="294">
        <f t="shared" si="4"/>
        <v>37.142857142857146</v>
      </c>
      <c r="M30" s="329">
        <v>18</v>
      </c>
      <c r="N30" s="294">
        <f t="shared" si="5"/>
        <v>45</v>
      </c>
      <c r="O30" s="324">
        <v>16</v>
      </c>
      <c r="P30" s="294">
        <f t="shared" si="6"/>
        <v>45.714285714285715</v>
      </c>
      <c r="Q30" s="327">
        <f t="shared" si="7"/>
        <v>195.35714285714286</v>
      </c>
      <c r="R30" s="328">
        <f t="shared" si="8"/>
        <v>39.071428571428569</v>
      </c>
    </row>
    <row r="31" spans="1:18" ht="22.8">
      <c r="A31" s="291">
        <v>25</v>
      </c>
      <c r="B31" s="177" t="s">
        <v>806</v>
      </c>
      <c r="C31" s="329">
        <v>27</v>
      </c>
      <c r="D31" s="294">
        <f t="shared" si="0"/>
        <v>67.5</v>
      </c>
      <c r="E31" s="18"/>
      <c r="F31" s="325" t="str">
        <f t="shared" si="1"/>
        <v xml:space="preserve"> </v>
      </c>
      <c r="G31" s="22"/>
      <c r="H31" s="325" t="str">
        <f t="shared" si="2"/>
        <v xml:space="preserve"> </v>
      </c>
      <c r="I31" s="329">
        <v>24</v>
      </c>
      <c r="J31" s="294">
        <f t="shared" si="3"/>
        <v>60</v>
      </c>
      <c r="K31" s="326">
        <v>22</v>
      </c>
      <c r="L31" s="294">
        <f t="shared" si="4"/>
        <v>62.857142857142854</v>
      </c>
      <c r="M31" s="329">
        <v>20</v>
      </c>
      <c r="N31" s="294">
        <f t="shared" si="5"/>
        <v>50</v>
      </c>
      <c r="O31" s="324">
        <v>29</v>
      </c>
      <c r="P31" s="294">
        <f t="shared" si="6"/>
        <v>82.857142857142861</v>
      </c>
      <c r="Q31" s="327">
        <f t="shared" si="7"/>
        <v>323.21428571428572</v>
      </c>
      <c r="R31" s="328">
        <f t="shared" si="8"/>
        <v>64.642857142857139</v>
      </c>
    </row>
    <row r="32" spans="1:18" ht="22.8">
      <c r="A32" s="291">
        <v>26</v>
      </c>
      <c r="B32" s="177" t="s">
        <v>807</v>
      </c>
      <c r="C32" s="329">
        <v>14</v>
      </c>
      <c r="D32" s="294">
        <f t="shared" si="0"/>
        <v>35</v>
      </c>
      <c r="E32" s="18"/>
      <c r="F32" s="325" t="str">
        <f t="shared" si="1"/>
        <v xml:space="preserve"> </v>
      </c>
      <c r="G32" s="22"/>
      <c r="H32" s="325" t="str">
        <f t="shared" si="2"/>
        <v xml:space="preserve"> </v>
      </c>
      <c r="I32" s="329">
        <v>2</v>
      </c>
      <c r="J32" s="294">
        <f t="shared" si="3"/>
        <v>5</v>
      </c>
      <c r="K32" s="326">
        <v>8</v>
      </c>
      <c r="L32" s="294">
        <f t="shared" si="4"/>
        <v>22.857142857142858</v>
      </c>
      <c r="M32" s="329">
        <v>2</v>
      </c>
      <c r="N32" s="294">
        <f t="shared" si="5"/>
        <v>5</v>
      </c>
      <c r="O32" s="319">
        <v>9</v>
      </c>
      <c r="P32" s="294">
        <f t="shared" si="6"/>
        <v>25.714285714285712</v>
      </c>
      <c r="Q32" s="327">
        <f t="shared" si="7"/>
        <v>93.571428571428569</v>
      </c>
      <c r="R32" s="328">
        <f t="shared" si="8"/>
        <v>18.714285714285715</v>
      </c>
    </row>
    <row r="33" spans="1:18" ht="22.8">
      <c r="A33" s="291">
        <v>27</v>
      </c>
      <c r="B33" s="177" t="s">
        <v>808</v>
      </c>
      <c r="C33" s="329">
        <v>19</v>
      </c>
      <c r="D33" s="294">
        <f t="shared" si="0"/>
        <v>47.5</v>
      </c>
      <c r="E33" s="18"/>
      <c r="F33" s="325" t="str">
        <f t="shared" si="1"/>
        <v xml:space="preserve"> </v>
      </c>
      <c r="G33" s="18"/>
      <c r="H33" s="325" t="str">
        <f t="shared" si="2"/>
        <v xml:space="preserve"> </v>
      </c>
      <c r="I33" s="329">
        <v>13</v>
      </c>
      <c r="J33" s="294">
        <f t="shared" si="3"/>
        <v>32.5</v>
      </c>
      <c r="K33" s="326">
        <v>15</v>
      </c>
      <c r="L33" s="294">
        <f t="shared" si="4"/>
        <v>42.857142857142854</v>
      </c>
      <c r="M33" s="329">
        <v>15</v>
      </c>
      <c r="N33" s="294">
        <f t="shared" si="5"/>
        <v>37.5</v>
      </c>
      <c r="O33" s="329">
        <v>28</v>
      </c>
      <c r="P33" s="294">
        <f t="shared" si="6"/>
        <v>80</v>
      </c>
      <c r="Q33" s="327">
        <f t="shared" si="7"/>
        <v>240.35714285714286</v>
      </c>
      <c r="R33" s="328">
        <f t="shared" si="8"/>
        <v>48.071428571428569</v>
      </c>
    </row>
    <row r="34" spans="1:18" ht="22.8">
      <c r="A34" s="291">
        <v>28</v>
      </c>
      <c r="B34" s="177" t="s">
        <v>809</v>
      </c>
      <c r="C34" s="329">
        <v>31</v>
      </c>
      <c r="D34" s="294">
        <f t="shared" si="0"/>
        <v>77.5</v>
      </c>
      <c r="E34" s="18"/>
      <c r="F34" s="325" t="str">
        <f t="shared" si="1"/>
        <v xml:space="preserve"> </v>
      </c>
      <c r="G34" s="18"/>
      <c r="H34" s="325" t="str">
        <f t="shared" si="2"/>
        <v xml:space="preserve"> </v>
      </c>
      <c r="I34" s="329">
        <v>18</v>
      </c>
      <c r="J34" s="294">
        <f t="shared" si="3"/>
        <v>45</v>
      </c>
      <c r="K34" s="326">
        <v>29</v>
      </c>
      <c r="L34" s="294">
        <f t="shared" si="4"/>
        <v>82.857142857142861</v>
      </c>
      <c r="M34" s="329">
        <v>24</v>
      </c>
      <c r="N34" s="294">
        <f t="shared" si="5"/>
        <v>60</v>
      </c>
      <c r="O34" s="329">
        <v>22</v>
      </c>
      <c r="P34" s="294">
        <f t="shared" si="6"/>
        <v>62.857142857142854</v>
      </c>
      <c r="Q34" s="327">
        <f t="shared" si="7"/>
        <v>328.21428571428572</v>
      </c>
      <c r="R34" s="328">
        <f t="shared" si="8"/>
        <v>65.642857142857139</v>
      </c>
    </row>
    <row r="35" spans="1:18" ht="22.8">
      <c r="A35" s="291">
        <v>29</v>
      </c>
      <c r="B35" s="177" t="s">
        <v>810</v>
      </c>
      <c r="C35" s="329">
        <v>28</v>
      </c>
      <c r="D35" s="294">
        <f t="shared" si="0"/>
        <v>70</v>
      </c>
      <c r="E35" s="18"/>
      <c r="F35" s="325" t="str">
        <f t="shared" si="1"/>
        <v xml:space="preserve"> </v>
      </c>
      <c r="G35" s="18"/>
      <c r="H35" s="325" t="str">
        <f t="shared" si="2"/>
        <v xml:space="preserve"> </v>
      </c>
      <c r="I35" s="329">
        <v>6</v>
      </c>
      <c r="J35" s="294">
        <f t="shared" si="3"/>
        <v>15</v>
      </c>
      <c r="K35" s="326">
        <v>9</v>
      </c>
      <c r="L35" s="294">
        <f t="shared" si="4"/>
        <v>25.714285714285712</v>
      </c>
      <c r="M35" s="329">
        <v>16</v>
      </c>
      <c r="N35" s="294">
        <f t="shared" si="5"/>
        <v>40</v>
      </c>
      <c r="O35" s="329">
        <v>22</v>
      </c>
      <c r="P35" s="294">
        <f t="shared" si="6"/>
        <v>62.857142857142854</v>
      </c>
      <c r="Q35" s="327">
        <f t="shared" si="7"/>
        <v>213.57142857142858</v>
      </c>
      <c r="R35" s="328">
        <f t="shared" si="8"/>
        <v>42.714285714285715</v>
      </c>
    </row>
    <row r="36" spans="1:18" ht="22.8">
      <c r="A36" s="291">
        <v>30</v>
      </c>
      <c r="B36" s="177" t="s">
        <v>811</v>
      </c>
      <c r="C36" s="329">
        <v>21</v>
      </c>
      <c r="D36" s="294">
        <f t="shared" si="0"/>
        <v>52.5</v>
      </c>
      <c r="E36" s="18"/>
      <c r="F36" s="325" t="str">
        <f t="shared" si="1"/>
        <v xml:space="preserve"> </v>
      </c>
      <c r="G36" s="18"/>
      <c r="H36" s="325" t="str">
        <f t="shared" si="2"/>
        <v xml:space="preserve"> </v>
      </c>
      <c r="I36" s="329">
        <v>5</v>
      </c>
      <c r="J36" s="294">
        <f t="shared" si="3"/>
        <v>12.5</v>
      </c>
      <c r="K36" s="326">
        <v>17</v>
      </c>
      <c r="L36" s="294">
        <f t="shared" si="4"/>
        <v>48.571428571428569</v>
      </c>
      <c r="M36" s="329">
        <v>19</v>
      </c>
      <c r="N36" s="294">
        <f t="shared" si="5"/>
        <v>47.5</v>
      </c>
      <c r="O36" s="329">
        <v>12</v>
      </c>
      <c r="P36" s="294">
        <f t="shared" si="6"/>
        <v>34.285714285714285</v>
      </c>
      <c r="Q36" s="327">
        <f t="shared" si="7"/>
        <v>195.35714285714283</v>
      </c>
      <c r="R36" s="328">
        <f t="shared" si="8"/>
        <v>39.071428571428562</v>
      </c>
    </row>
    <row r="37" spans="1:18" ht="22.8">
      <c r="A37" s="291">
        <v>31</v>
      </c>
      <c r="B37" s="177" t="s">
        <v>812</v>
      </c>
      <c r="C37" s="329">
        <v>32</v>
      </c>
      <c r="D37" s="294">
        <f t="shared" si="0"/>
        <v>80</v>
      </c>
      <c r="E37" s="18"/>
      <c r="F37" s="325" t="str">
        <f t="shared" si="1"/>
        <v xml:space="preserve"> </v>
      </c>
      <c r="G37" s="18"/>
      <c r="H37" s="325" t="str">
        <f t="shared" si="2"/>
        <v xml:space="preserve"> </v>
      </c>
      <c r="I37" s="329">
        <v>21</v>
      </c>
      <c r="J37" s="294">
        <f t="shared" si="3"/>
        <v>52.5</v>
      </c>
      <c r="K37" s="326">
        <v>29</v>
      </c>
      <c r="L37" s="294">
        <f t="shared" si="4"/>
        <v>82.857142857142861</v>
      </c>
      <c r="M37" s="329">
        <v>32</v>
      </c>
      <c r="N37" s="294">
        <f t="shared" si="5"/>
        <v>80</v>
      </c>
      <c r="O37" s="329">
        <v>28</v>
      </c>
      <c r="P37" s="294">
        <f t="shared" si="6"/>
        <v>80</v>
      </c>
      <c r="Q37" s="327">
        <f t="shared" si="7"/>
        <v>375.35714285714289</v>
      </c>
      <c r="R37" s="328">
        <f t="shared" si="8"/>
        <v>75.071428571428584</v>
      </c>
    </row>
    <row r="38" spans="1:18" ht="22.8">
      <c r="A38" s="291">
        <v>32</v>
      </c>
      <c r="B38" s="177" t="s">
        <v>813</v>
      </c>
      <c r="C38" s="329">
        <v>28</v>
      </c>
      <c r="D38" s="294">
        <f t="shared" si="0"/>
        <v>70</v>
      </c>
      <c r="E38" s="18"/>
      <c r="F38" s="325" t="str">
        <f t="shared" si="1"/>
        <v xml:space="preserve"> </v>
      </c>
      <c r="G38" s="18"/>
      <c r="H38" s="325" t="str">
        <f t="shared" si="2"/>
        <v xml:space="preserve"> </v>
      </c>
      <c r="I38" s="329">
        <v>6</v>
      </c>
      <c r="J38" s="294">
        <f t="shared" si="3"/>
        <v>15</v>
      </c>
      <c r="K38" s="326">
        <v>19</v>
      </c>
      <c r="L38" s="294">
        <f t="shared" si="4"/>
        <v>54.285714285714285</v>
      </c>
      <c r="M38" s="329">
        <v>11</v>
      </c>
      <c r="N38" s="294">
        <f t="shared" si="5"/>
        <v>27.500000000000004</v>
      </c>
      <c r="O38" s="329">
        <v>15</v>
      </c>
      <c r="P38" s="294">
        <f t="shared" si="6"/>
        <v>42.857142857142854</v>
      </c>
      <c r="Q38" s="327">
        <f t="shared" si="7"/>
        <v>209.64285714285714</v>
      </c>
      <c r="R38" s="328">
        <f t="shared" si="8"/>
        <v>41.928571428571431</v>
      </c>
    </row>
    <row r="39" spans="1:18" ht="22.8">
      <c r="A39" s="291">
        <v>33</v>
      </c>
      <c r="B39" s="177" t="s">
        <v>814</v>
      </c>
      <c r="C39" s="329">
        <v>17</v>
      </c>
      <c r="D39" s="294">
        <f t="shared" si="0"/>
        <v>42.5</v>
      </c>
      <c r="E39" s="18"/>
      <c r="F39" s="325" t="str">
        <f t="shared" si="1"/>
        <v xml:space="preserve"> </v>
      </c>
      <c r="G39" s="18"/>
      <c r="H39" s="325" t="str">
        <f t="shared" si="2"/>
        <v xml:space="preserve"> </v>
      </c>
      <c r="I39" s="18">
        <v>6</v>
      </c>
      <c r="J39" s="294">
        <f t="shared" si="3"/>
        <v>15</v>
      </c>
      <c r="K39" s="326">
        <v>10</v>
      </c>
      <c r="L39" s="294">
        <f t="shared" si="4"/>
        <v>28.571428571428569</v>
      </c>
      <c r="M39" s="329">
        <v>16</v>
      </c>
      <c r="N39" s="294">
        <f t="shared" si="5"/>
        <v>40</v>
      </c>
      <c r="O39" s="329">
        <v>9</v>
      </c>
      <c r="P39" s="294">
        <f t="shared" si="6"/>
        <v>25.714285714285712</v>
      </c>
      <c r="Q39" s="327">
        <f t="shared" si="7"/>
        <v>151.78571428571428</v>
      </c>
      <c r="R39" s="328">
        <f t="shared" si="8"/>
        <v>30.357142857142854</v>
      </c>
    </row>
    <row r="40" spans="1:18" ht="22.8">
      <c r="A40" s="291">
        <v>34</v>
      </c>
      <c r="B40" s="177" t="s">
        <v>815</v>
      </c>
      <c r="C40" s="329">
        <v>19</v>
      </c>
      <c r="D40" s="294">
        <f t="shared" si="0"/>
        <v>47.5</v>
      </c>
      <c r="E40" s="18"/>
      <c r="F40" s="325" t="str">
        <f t="shared" si="1"/>
        <v xml:space="preserve"> </v>
      </c>
      <c r="G40" s="18"/>
      <c r="H40" s="325" t="str">
        <f t="shared" si="2"/>
        <v xml:space="preserve"> </v>
      </c>
      <c r="I40" s="329">
        <v>3</v>
      </c>
      <c r="J40" s="294">
        <f t="shared" si="3"/>
        <v>7.5</v>
      </c>
      <c r="K40" s="326">
        <v>13</v>
      </c>
      <c r="L40" s="294">
        <f t="shared" si="4"/>
        <v>37.142857142857146</v>
      </c>
      <c r="M40" s="329">
        <v>10</v>
      </c>
      <c r="N40" s="294">
        <f t="shared" si="5"/>
        <v>25</v>
      </c>
      <c r="O40" s="329">
        <v>9</v>
      </c>
      <c r="P40" s="294">
        <f t="shared" si="6"/>
        <v>25.714285714285712</v>
      </c>
      <c r="Q40" s="327">
        <f t="shared" si="7"/>
        <v>142.85714285714286</v>
      </c>
      <c r="R40" s="328">
        <f t="shared" si="8"/>
        <v>28.571428571428573</v>
      </c>
    </row>
    <row r="41" spans="1:18" ht="22.8">
      <c r="A41" s="291">
        <v>35</v>
      </c>
      <c r="B41" s="177" t="s">
        <v>816</v>
      </c>
      <c r="C41" s="329">
        <v>23</v>
      </c>
      <c r="D41" s="294">
        <f t="shared" si="0"/>
        <v>57.499999999999993</v>
      </c>
      <c r="E41" s="18"/>
      <c r="F41" s="325" t="str">
        <f t="shared" si="1"/>
        <v xml:space="preserve"> </v>
      </c>
      <c r="G41" s="18"/>
      <c r="H41" s="325" t="str">
        <f t="shared" si="2"/>
        <v xml:space="preserve"> </v>
      </c>
      <c r="I41" s="18">
        <v>13</v>
      </c>
      <c r="J41" s="294">
        <f t="shared" si="3"/>
        <v>32.5</v>
      </c>
      <c r="K41" s="326">
        <v>17</v>
      </c>
      <c r="L41" s="294">
        <f t="shared" si="4"/>
        <v>48.571428571428569</v>
      </c>
      <c r="M41" s="329">
        <v>20</v>
      </c>
      <c r="N41" s="294">
        <f t="shared" si="5"/>
        <v>50</v>
      </c>
      <c r="O41" s="329">
        <v>16</v>
      </c>
      <c r="P41" s="294">
        <f t="shared" si="6"/>
        <v>45.714285714285715</v>
      </c>
      <c r="Q41" s="327">
        <f t="shared" si="7"/>
        <v>234.28571428571428</v>
      </c>
      <c r="R41" s="328">
        <f t="shared" si="8"/>
        <v>46.857142857142854</v>
      </c>
    </row>
    <row r="42" spans="1:18" ht="22.8">
      <c r="A42" s="291">
        <v>36</v>
      </c>
      <c r="B42" s="177" t="s">
        <v>817</v>
      </c>
      <c r="C42" s="329">
        <v>19</v>
      </c>
      <c r="D42" s="294">
        <f t="shared" si="0"/>
        <v>47.5</v>
      </c>
      <c r="E42" s="18"/>
      <c r="F42" s="325" t="str">
        <f t="shared" si="1"/>
        <v xml:space="preserve"> </v>
      </c>
      <c r="G42" s="18"/>
      <c r="H42" s="325" t="str">
        <f t="shared" si="2"/>
        <v xml:space="preserve"> </v>
      </c>
      <c r="I42" s="329">
        <v>5</v>
      </c>
      <c r="J42" s="294">
        <f t="shared" si="3"/>
        <v>12.5</v>
      </c>
      <c r="K42" s="326">
        <v>13</v>
      </c>
      <c r="L42" s="294">
        <f t="shared" si="4"/>
        <v>37.142857142857146</v>
      </c>
      <c r="M42" s="329">
        <v>8</v>
      </c>
      <c r="N42" s="294">
        <f t="shared" si="5"/>
        <v>20</v>
      </c>
      <c r="O42" s="329">
        <v>12</v>
      </c>
      <c r="P42" s="294">
        <f t="shared" si="6"/>
        <v>34.285714285714285</v>
      </c>
      <c r="Q42" s="327">
        <f t="shared" si="7"/>
        <v>151.42857142857142</v>
      </c>
      <c r="R42" s="328">
        <f t="shared" si="8"/>
        <v>30.285714285714281</v>
      </c>
    </row>
    <row r="43" spans="1:18" ht="22.8">
      <c r="A43" s="291"/>
      <c r="B43" s="177"/>
      <c r="C43" s="329"/>
      <c r="D43" s="294" t="str">
        <f t="shared" si="0"/>
        <v/>
      </c>
      <c r="E43" s="18"/>
      <c r="F43" s="325" t="str">
        <f t="shared" si="1"/>
        <v/>
      </c>
      <c r="G43" s="18"/>
      <c r="H43" s="325" t="str">
        <f t="shared" si="2"/>
        <v/>
      </c>
      <c r="I43" s="329"/>
      <c r="J43" s="294" t="str">
        <f t="shared" si="3"/>
        <v/>
      </c>
      <c r="K43" s="326"/>
      <c r="L43" s="294" t="str">
        <f t="shared" si="4"/>
        <v/>
      </c>
      <c r="M43" s="329"/>
      <c r="N43" s="294" t="str">
        <f t="shared" si="5"/>
        <v/>
      </c>
      <c r="O43" s="329"/>
      <c r="P43" s="294" t="str">
        <f t="shared" si="6"/>
        <v/>
      </c>
      <c r="Q43" s="327"/>
      <c r="R43" s="328"/>
    </row>
    <row r="44" spans="1:18" ht="14.4">
      <c r="A44" s="22"/>
      <c r="B44" s="332"/>
      <c r="C44" s="18"/>
      <c r="D44" s="301"/>
      <c r="E44" s="18"/>
      <c r="F44" s="301"/>
      <c r="G44" s="18"/>
      <c r="H44" s="301"/>
      <c r="I44" s="18"/>
      <c r="J44" s="301"/>
      <c r="K44" s="35"/>
      <c r="L44" s="301"/>
      <c r="M44" s="18"/>
      <c r="N44" s="333"/>
      <c r="O44" s="18"/>
      <c r="P44" s="302" t="str">
        <f t="shared" si="6"/>
        <v/>
      </c>
      <c r="Q44" s="303"/>
      <c r="R44" s="334"/>
    </row>
    <row r="45" spans="1:18" ht="14.4">
      <c r="A45" s="22"/>
      <c r="B45" s="332"/>
      <c r="C45" s="18"/>
      <c r="D45" s="301"/>
      <c r="E45" s="18"/>
      <c r="F45" s="301"/>
      <c r="G45" s="18"/>
      <c r="H45" s="301"/>
      <c r="I45" s="18"/>
      <c r="J45" s="301"/>
      <c r="K45" s="18"/>
      <c r="L45" s="301"/>
      <c r="M45" s="18"/>
      <c r="N45" s="333"/>
      <c r="O45" s="18"/>
      <c r="P45" s="302" t="str">
        <f t="shared" si="6"/>
        <v/>
      </c>
      <c r="Q45" s="303"/>
      <c r="R45" s="334"/>
    </row>
    <row r="46" spans="1:18" ht="14.4">
      <c r="A46" s="22"/>
      <c r="B46" s="332"/>
      <c r="C46" s="18"/>
      <c r="D46" s="301"/>
      <c r="E46" s="18"/>
      <c r="F46" s="301"/>
      <c r="G46" s="18"/>
      <c r="H46" s="301"/>
      <c r="I46" s="18"/>
      <c r="J46" s="301"/>
      <c r="K46" s="18"/>
      <c r="L46" s="301"/>
      <c r="M46" s="18"/>
      <c r="N46" s="333"/>
      <c r="O46" s="18"/>
      <c r="P46" s="335"/>
      <c r="Q46" s="303"/>
      <c r="R46" s="334"/>
    </row>
    <row r="47" spans="1:18" ht="14.4">
      <c r="A47" s="446" t="s">
        <v>771</v>
      </c>
      <c r="B47" s="362"/>
      <c r="C47" s="372"/>
      <c r="D47" s="362"/>
      <c r="E47" s="372"/>
      <c r="F47" s="362"/>
      <c r="G47" s="372"/>
      <c r="H47" s="362"/>
      <c r="I47" s="372"/>
      <c r="J47" s="362"/>
      <c r="K47" s="372"/>
      <c r="L47" s="362"/>
      <c r="M47" s="372"/>
      <c r="N47" s="362"/>
      <c r="O47" s="372"/>
      <c r="P47" s="362"/>
      <c r="Q47" s="438"/>
      <c r="R47" s="362"/>
    </row>
    <row r="48" spans="1:18" ht="22.8">
      <c r="A48" s="447" t="s">
        <v>71</v>
      </c>
      <c r="B48" s="336" t="s">
        <v>72</v>
      </c>
      <c r="C48" s="457"/>
      <c r="D48" s="362"/>
      <c r="E48" s="372"/>
      <c r="F48" s="362"/>
      <c r="G48" s="372"/>
      <c r="H48" s="362"/>
      <c r="I48" s="457"/>
      <c r="J48" s="362"/>
      <c r="K48" s="457"/>
      <c r="L48" s="362"/>
      <c r="M48" s="372"/>
      <c r="N48" s="362"/>
      <c r="O48" s="457">
        <v>30</v>
      </c>
      <c r="P48" s="362"/>
      <c r="Q48" s="372"/>
      <c r="R48" s="362"/>
    </row>
    <row r="49" spans="1:18" ht="22.8">
      <c r="A49" s="381"/>
      <c r="B49" s="336" t="s">
        <v>772</v>
      </c>
      <c r="C49" s="449">
        <v>0</v>
      </c>
      <c r="D49" s="362"/>
      <c r="E49" s="433"/>
      <c r="F49" s="362"/>
      <c r="G49" s="433"/>
      <c r="H49" s="362"/>
      <c r="I49" s="449"/>
      <c r="J49" s="362"/>
      <c r="K49" s="449"/>
      <c r="L49" s="362"/>
      <c r="M49" s="433"/>
      <c r="N49" s="362"/>
      <c r="O49" s="449">
        <v>0</v>
      </c>
      <c r="P49" s="362"/>
      <c r="Q49" s="433"/>
      <c r="R49" s="362"/>
    </row>
    <row r="50" spans="1:18" ht="22.8">
      <c r="A50" s="381"/>
      <c r="B50" s="336" t="s">
        <v>74</v>
      </c>
      <c r="C50" s="449"/>
      <c r="D50" s="362"/>
      <c r="E50" s="433"/>
      <c r="F50" s="362"/>
      <c r="G50" s="433"/>
      <c r="H50" s="362"/>
      <c r="I50" s="449"/>
      <c r="J50" s="362"/>
      <c r="K50" s="449"/>
      <c r="L50" s="362"/>
      <c r="M50" s="433"/>
      <c r="N50" s="362"/>
      <c r="O50" s="449">
        <v>30</v>
      </c>
      <c r="P50" s="362"/>
      <c r="Q50" s="433"/>
      <c r="R50" s="362"/>
    </row>
    <row r="51" spans="1:18" ht="17.399999999999999">
      <c r="A51" s="381"/>
      <c r="B51" s="336" t="s">
        <v>75</v>
      </c>
      <c r="C51" s="432">
        <f>C50-C53</f>
        <v>0</v>
      </c>
      <c r="D51" s="362"/>
      <c r="E51" s="432">
        <f>E50-E53</f>
        <v>0</v>
      </c>
      <c r="F51" s="362"/>
      <c r="G51" s="432">
        <f>G50-G53</f>
        <v>0</v>
      </c>
      <c r="H51" s="362"/>
      <c r="I51" s="432">
        <f>I50-I53</f>
        <v>-16</v>
      </c>
      <c r="J51" s="362"/>
      <c r="K51" s="432">
        <f>K50-K53</f>
        <v>-4</v>
      </c>
      <c r="L51" s="362"/>
      <c r="M51" s="432">
        <f>M50-M53</f>
        <v>-12</v>
      </c>
      <c r="N51" s="362"/>
      <c r="O51" s="432">
        <f>O50-O53</f>
        <v>26</v>
      </c>
      <c r="P51" s="362"/>
      <c r="Q51" s="433"/>
      <c r="R51" s="362"/>
    </row>
    <row r="52" spans="1:18" ht="17.399999999999999">
      <c r="A52" s="381"/>
      <c r="B52" s="336" t="s">
        <v>76</v>
      </c>
      <c r="C52" s="434" t="e">
        <f>(C51/C50)*100</f>
        <v>#DIV/0!</v>
      </c>
      <c r="D52" s="362"/>
      <c r="E52" s="434" t="e">
        <f>(E51/E50)*100</f>
        <v>#DIV/0!</v>
      </c>
      <c r="F52" s="362"/>
      <c r="G52" s="434" t="e">
        <f>(G51/G50)*100</f>
        <v>#DIV/0!</v>
      </c>
      <c r="H52" s="362"/>
      <c r="I52" s="434" t="e">
        <f>(I51/I50)*100</f>
        <v>#DIV/0!</v>
      </c>
      <c r="J52" s="362"/>
      <c r="K52" s="434" t="e">
        <f>(K51/K50)*100</f>
        <v>#DIV/0!</v>
      </c>
      <c r="L52" s="362"/>
      <c r="M52" s="434" t="e">
        <f>(M51/M50)*100</f>
        <v>#DIV/0!</v>
      </c>
      <c r="N52" s="362"/>
      <c r="O52" s="434">
        <f>(O51/O50)*100</f>
        <v>86.666666666666671</v>
      </c>
      <c r="P52" s="362"/>
      <c r="Q52" s="435"/>
      <c r="R52" s="362"/>
    </row>
    <row r="53" spans="1:18" ht="17.399999999999999">
      <c r="A53" s="381"/>
      <c r="B53" s="336" t="s">
        <v>77</v>
      </c>
      <c r="C53" s="432">
        <f>COUNTIFS(D6:D46,"&lt;=32",D6:D46,"&gt; 0")</f>
        <v>0</v>
      </c>
      <c r="D53" s="362"/>
      <c r="E53" s="432">
        <f>COUNTIFS(F6:F46,"&lt;=32",F6:F46,"&gt; 0")</f>
        <v>0</v>
      </c>
      <c r="F53" s="362"/>
      <c r="G53" s="432">
        <f>COUNTIFS(H6:H46,"&lt;=32",H6:H46,"&gt; 0")</f>
        <v>0</v>
      </c>
      <c r="H53" s="362"/>
      <c r="I53" s="432">
        <f>COUNTIFS(J6:J46,"&lt;=32",J6:J46,"&gt; 0")</f>
        <v>16</v>
      </c>
      <c r="J53" s="362"/>
      <c r="K53" s="432">
        <f>COUNTIFS(L6:L46,"&lt;=32",L6:L46,"&gt; 0")</f>
        <v>4</v>
      </c>
      <c r="L53" s="362"/>
      <c r="M53" s="432">
        <f>COUNTIFS(N6:N46,"&lt;=32",N6:N46,"&gt; 0")</f>
        <v>12</v>
      </c>
      <c r="N53" s="362"/>
      <c r="O53" s="432">
        <f>COUNTIFS(P6:P46,"&lt;=32",P6:P46,"&gt; 0")</f>
        <v>4</v>
      </c>
      <c r="P53" s="362"/>
      <c r="Q53" s="433"/>
      <c r="R53" s="362"/>
    </row>
    <row r="54" spans="1:18" ht="17.399999999999999">
      <c r="A54" s="381"/>
      <c r="B54" s="336" t="s">
        <v>78</v>
      </c>
      <c r="C54" s="432">
        <f>COUNTIFS(D6:D46,"&gt;=32.1",D6:D46,"&lt;=44")</f>
        <v>5</v>
      </c>
      <c r="D54" s="362"/>
      <c r="E54" s="432">
        <f>COUNTIFS(F6:F46,"&gt;=32.1",F6:F46,"&lt;=44")</f>
        <v>1</v>
      </c>
      <c r="F54" s="362"/>
      <c r="G54" s="432">
        <f>COUNTIFS(H6:H46,"&gt;=32.1",H6:H46,"&lt;=44")</f>
        <v>0</v>
      </c>
      <c r="H54" s="362"/>
      <c r="I54" s="432">
        <f>COUNTIFS(J6:J46,"&gt;=32.1",J6:J46,"&lt;=44")</f>
        <v>9</v>
      </c>
      <c r="J54" s="362"/>
      <c r="K54" s="432">
        <f>COUNTIFS(L6:L46,"&gt;=32.1",L6:L46,"&lt;=44")</f>
        <v>12</v>
      </c>
      <c r="L54" s="362"/>
      <c r="M54" s="432">
        <f>COUNTIFS(N6:N46,"&gt;=32.1",N6:N46,"&lt;=44")</f>
        <v>6</v>
      </c>
      <c r="N54" s="362"/>
      <c r="O54" s="432">
        <f>COUNTIFS(P6:P46,"&gt;=32.1",P6:P46,"&lt;=44")</f>
        <v>7</v>
      </c>
      <c r="P54" s="362"/>
      <c r="Q54" s="433"/>
      <c r="R54" s="362"/>
    </row>
    <row r="55" spans="1:18" ht="17.399999999999999">
      <c r="A55" s="381"/>
      <c r="B55" s="336" t="s">
        <v>79</v>
      </c>
      <c r="C55" s="432">
        <f>COUNTIFS(D6:D46,"&gt;=44.1",D6:D46,"&lt;=59")</f>
        <v>11</v>
      </c>
      <c r="D55" s="362"/>
      <c r="E55" s="432">
        <f>COUNTIFS(F6:F46,"&gt;=44.1",F6:F46,"&lt;=59")</f>
        <v>3</v>
      </c>
      <c r="F55" s="362"/>
      <c r="G55" s="432">
        <f>COUNTIFS(H6:H46,"&gt;=44.1",H6:H46,"&lt;=59")</f>
        <v>0</v>
      </c>
      <c r="H55" s="362"/>
      <c r="I55" s="432">
        <f>COUNTIFS(J6:J46,"&gt;=44.1",J6:J46,"&lt;=59")</f>
        <v>9</v>
      </c>
      <c r="J55" s="362"/>
      <c r="K55" s="432">
        <f>COUNTIFS(L6:L46,"&gt;=44.1",L6:L46,"&lt;=59")</f>
        <v>9</v>
      </c>
      <c r="L55" s="362"/>
      <c r="M55" s="432">
        <f>COUNTIFS(N6:N46,"&gt;=44.1",N6:N46,"&lt;=59")</f>
        <v>7</v>
      </c>
      <c r="N55" s="362"/>
      <c r="O55" s="432">
        <f>COUNTIFS(P6:P46,"&gt;=44.1",P6:P46,"&lt;=59")</f>
        <v>5</v>
      </c>
      <c r="P55" s="362"/>
      <c r="Q55" s="433"/>
      <c r="R55" s="362"/>
    </row>
    <row r="56" spans="1:18" ht="17.399999999999999">
      <c r="A56" s="381"/>
      <c r="B56" s="336" t="s">
        <v>80</v>
      </c>
      <c r="C56" s="432">
        <f>COUNTIFS(D6:D46,"&gt;=59.1",D6:D46,"&lt;=74")</f>
        <v>7</v>
      </c>
      <c r="D56" s="362"/>
      <c r="E56" s="432">
        <f>COUNTIFS(F6:F46,"&gt;=59.1",F6:F46,"&lt;=74")</f>
        <v>0</v>
      </c>
      <c r="F56" s="362"/>
      <c r="G56" s="432">
        <f>COUNTIFS(H6:H46,"&gt;=59.1",H6:H46,"&lt;=74")</f>
        <v>0</v>
      </c>
      <c r="H56" s="362"/>
      <c r="I56" s="432">
        <f>COUNTIFS(J6:J46,"&gt;=59.1",J6:J46,"&lt;=74")</f>
        <v>1</v>
      </c>
      <c r="J56" s="362"/>
      <c r="K56" s="432">
        <f>COUNTIFS(L6:L46,"&gt;=59.1",L6:L46,"&lt;=74")</f>
        <v>5</v>
      </c>
      <c r="L56" s="362"/>
      <c r="M56" s="432">
        <f>COUNTIFS(N6:N46,"&gt;=59.1",N6:N46,"&lt;=74")</f>
        <v>7</v>
      </c>
      <c r="N56" s="362"/>
      <c r="O56" s="432">
        <f>COUNTIFS(P6:P46,"&gt;=59.1",P6:P46,"&lt;=74")</f>
        <v>7</v>
      </c>
      <c r="P56" s="362"/>
      <c r="Q56" s="433"/>
      <c r="R56" s="362"/>
    </row>
    <row r="57" spans="1:18" ht="17.399999999999999">
      <c r="A57" s="381"/>
      <c r="B57" s="336" t="s">
        <v>81</v>
      </c>
      <c r="C57" s="436">
        <f>COUNTIFS(D6:D46,"&gt;=74.1",D6:D46,"&lt;89")</f>
        <v>13</v>
      </c>
      <c r="D57" s="362"/>
      <c r="E57" s="436">
        <f>COUNTIFS(F6:F46,"&gt;=74.1",F6:F46,"&lt;89")</f>
        <v>1</v>
      </c>
      <c r="F57" s="362"/>
      <c r="G57" s="436">
        <f>COUNTIFS(H6:H46,"&gt;=74.1",H6:H46,"&lt;89")</f>
        <v>0</v>
      </c>
      <c r="H57" s="362"/>
      <c r="I57" s="436">
        <f>COUNTIFS(J6:J46,"&gt;=74.1",J6:J46,"&lt;89")</f>
        <v>1</v>
      </c>
      <c r="J57" s="362"/>
      <c r="K57" s="436">
        <f>COUNTIFS(L6:L46,"&gt;=74.1",L6:L46,"&lt;89")</f>
        <v>6</v>
      </c>
      <c r="L57" s="362"/>
      <c r="M57" s="436">
        <f>COUNTIFS(N6:N46,"&gt;=74.1",N6:N46,"&lt;89")</f>
        <v>2</v>
      </c>
      <c r="N57" s="362"/>
      <c r="O57" s="436">
        <f>COUNTIFS(P6:P46,"&gt;=74.1",P6:P46,"&lt;89")</f>
        <v>6</v>
      </c>
      <c r="P57" s="362"/>
      <c r="Q57" s="372"/>
      <c r="R57" s="362"/>
    </row>
    <row r="58" spans="1:18" ht="17.399999999999999">
      <c r="A58" s="382"/>
      <c r="B58" s="336" t="s">
        <v>82</v>
      </c>
      <c r="C58" s="432">
        <f>COUNTIF(D6:D46,"&gt;=89.1")</f>
        <v>0</v>
      </c>
      <c r="D58" s="362"/>
      <c r="E58" s="432">
        <f>COUNTIF(F6:F46,"&gt;=89.1")</f>
        <v>2</v>
      </c>
      <c r="F58" s="362"/>
      <c r="G58" s="432">
        <f>COUNTIF(H6:H46,"&gt;=89.1")</f>
        <v>0</v>
      </c>
      <c r="H58" s="362"/>
      <c r="I58" s="432">
        <f>COUNTIF(J6:J46,"&gt;=89.1")</f>
        <v>0</v>
      </c>
      <c r="J58" s="362"/>
      <c r="K58" s="432">
        <f>COUNTIF(L6:L46,"&gt;=89.1")</f>
        <v>0</v>
      </c>
      <c r="L58" s="362"/>
      <c r="M58" s="432">
        <f>COUNTIF(N6:N46,"&gt;=89.1")</f>
        <v>0</v>
      </c>
      <c r="N58" s="362"/>
      <c r="O58" s="432">
        <f>COUNTIF(P6:P46,"&gt;=89.1")</f>
        <v>0</v>
      </c>
      <c r="P58" s="362"/>
      <c r="Q58" s="433"/>
      <c r="R58" s="362"/>
    </row>
    <row r="59" spans="1:18" ht="13.2">
      <c r="A59" s="448" t="s">
        <v>85</v>
      </c>
      <c r="B59" s="371"/>
      <c r="C59" s="448" t="s">
        <v>773</v>
      </c>
      <c r="D59" s="369"/>
      <c r="E59" s="369"/>
      <c r="F59" s="369"/>
      <c r="G59" s="369"/>
      <c r="H59" s="369"/>
      <c r="I59" s="369"/>
      <c r="J59" s="369"/>
      <c r="K59" s="369"/>
      <c r="L59" s="371"/>
      <c r="M59" s="448" t="s">
        <v>86</v>
      </c>
      <c r="N59" s="369"/>
      <c r="O59" s="369"/>
      <c r="P59" s="369"/>
      <c r="Q59" s="369"/>
      <c r="R59" s="371"/>
    </row>
    <row r="60" spans="1:18" ht="13.2">
      <c r="A60" s="417"/>
      <c r="B60" s="360"/>
      <c r="C60" s="417"/>
      <c r="D60" s="378"/>
      <c r="E60" s="378"/>
      <c r="F60" s="378"/>
      <c r="G60" s="378"/>
      <c r="H60" s="378"/>
      <c r="I60" s="378"/>
      <c r="J60" s="378"/>
      <c r="K60" s="378"/>
      <c r="L60" s="360"/>
      <c r="M60" s="417"/>
      <c r="N60" s="378"/>
      <c r="O60" s="378"/>
      <c r="P60" s="378"/>
      <c r="Q60" s="378"/>
      <c r="R60" s="360"/>
    </row>
  </sheetData>
  <mergeCells count="115">
    <mergeCell ref="M57:N57"/>
    <mergeCell ref="O57:P57"/>
    <mergeCell ref="K58:L58"/>
    <mergeCell ref="M58:N58"/>
    <mergeCell ref="O58:P58"/>
    <mergeCell ref="Q58:R58"/>
    <mergeCell ref="M59:R60"/>
    <mergeCell ref="G56:H56"/>
    <mergeCell ref="I56:J56"/>
    <mergeCell ref="K56:L56"/>
    <mergeCell ref="M56:N56"/>
    <mergeCell ref="O56:P56"/>
    <mergeCell ref="Q56:R56"/>
    <mergeCell ref="K57:L57"/>
    <mergeCell ref="Q57:R57"/>
    <mergeCell ref="A47:B47"/>
    <mergeCell ref="G47:H47"/>
    <mergeCell ref="I47:J47"/>
    <mergeCell ref="A48:A58"/>
    <mergeCell ref="I48:J48"/>
    <mergeCell ref="G53:H53"/>
    <mergeCell ref="I53:J53"/>
    <mergeCell ref="C54:D54"/>
    <mergeCell ref="E54:F54"/>
    <mergeCell ref="G54:H54"/>
    <mergeCell ref="I54:J54"/>
    <mergeCell ref="C55:D55"/>
    <mergeCell ref="E55:F55"/>
    <mergeCell ref="G55:H55"/>
    <mergeCell ref="I55:J55"/>
    <mergeCell ref="C56:D56"/>
    <mergeCell ref="E56:F56"/>
    <mergeCell ref="C57:D57"/>
    <mergeCell ref="E57:F57"/>
    <mergeCell ref="G57:H57"/>
    <mergeCell ref="I57:J57"/>
    <mergeCell ref="C58:D58"/>
    <mergeCell ref="E58:F58"/>
    <mergeCell ref="A59:B60"/>
    <mergeCell ref="G58:H58"/>
    <mergeCell ref="I58:J58"/>
    <mergeCell ref="C59:L60"/>
    <mergeCell ref="M53:N53"/>
    <mergeCell ref="O53:P53"/>
    <mergeCell ref="Q53:R53"/>
    <mergeCell ref="M55:N55"/>
    <mergeCell ref="O55:P55"/>
    <mergeCell ref="G52:H52"/>
    <mergeCell ref="I52:J52"/>
    <mergeCell ref="K54:L54"/>
    <mergeCell ref="M54:N54"/>
    <mergeCell ref="O54:P54"/>
    <mergeCell ref="Q54:R54"/>
    <mergeCell ref="K55:L55"/>
    <mergeCell ref="Q55:R55"/>
    <mergeCell ref="C51:D51"/>
    <mergeCell ref="E51:F51"/>
    <mergeCell ref="G51:H51"/>
    <mergeCell ref="I51:J51"/>
    <mergeCell ref="C52:D52"/>
    <mergeCell ref="E52:F52"/>
    <mergeCell ref="C53:D53"/>
    <mergeCell ref="E53:F53"/>
    <mergeCell ref="K53:L53"/>
    <mergeCell ref="G49:H49"/>
    <mergeCell ref="I49:J49"/>
    <mergeCell ref="K49:L49"/>
    <mergeCell ref="M49:N49"/>
    <mergeCell ref="O49:P49"/>
    <mergeCell ref="Q49:R49"/>
    <mergeCell ref="K50:L50"/>
    <mergeCell ref="Q50:R50"/>
    <mergeCell ref="C50:D50"/>
    <mergeCell ref="E50:F50"/>
    <mergeCell ref="G50:H50"/>
    <mergeCell ref="I50:J50"/>
    <mergeCell ref="C49:D49"/>
    <mergeCell ref="E49:F49"/>
    <mergeCell ref="K47:L47"/>
    <mergeCell ref="M47:N47"/>
    <mergeCell ref="O47:P47"/>
    <mergeCell ref="Q47:R47"/>
    <mergeCell ref="C47:D47"/>
    <mergeCell ref="C48:D48"/>
    <mergeCell ref="E48:F48"/>
    <mergeCell ref="G48:H48"/>
    <mergeCell ref="K48:L48"/>
    <mergeCell ref="M48:N48"/>
    <mergeCell ref="O48:P48"/>
    <mergeCell ref="Q48:R48"/>
    <mergeCell ref="E47:F47"/>
    <mergeCell ref="I4:J4"/>
    <mergeCell ref="K4:L4"/>
    <mergeCell ref="M4:N4"/>
    <mergeCell ref="O4:P4"/>
    <mergeCell ref="A1:R1"/>
    <mergeCell ref="A2:R2"/>
    <mergeCell ref="A3:B3"/>
    <mergeCell ref="D3:L3"/>
    <mergeCell ref="A4:A6"/>
    <mergeCell ref="B4:B6"/>
    <mergeCell ref="C4:D4"/>
    <mergeCell ref="Q4:R4"/>
    <mergeCell ref="E4:F4"/>
    <mergeCell ref="G4:H4"/>
    <mergeCell ref="M52:N52"/>
    <mergeCell ref="O52:P52"/>
    <mergeCell ref="M50:N50"/>
    <mergeCell ref="O50:P50"/>
    <mergeCell ref="K51:L51"/>
    <mergeCell ref="M51:N51"/>
    <mergeCell ref="O51:P51"/>
    <mergeCell ref="Q51:R51"/>
    <mergeCell ref="K52:L52"/>
    <mergeCell ref="Q52:R52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R61"/>
  <sheetViews>
    <sheetView workbookViewId="0"/>
  </sheetViews>
  <sheetFormatPr defaultColWidth="12.6640625" defaultRowHeight="15.75" customHeight="1"/>
  <cols>
    <col min="2" max="2" width="42.33203125" customWidth="1"/>
    <col min="3" max="3" width="14.77734375" customWidth="1"/>
    <col min="5" max="5" width="15.44140625" customWidth="1"/>
    <col min="7" max="7" width="14.88671875" customWidth="1"/>
    <col min="9" max="9" width="15" customWidth="1"/>
    <col min="11" max="11" width="14.44140625" customWidth="1"/>
    <col min="13" max="13" width="15.44140625" customWidth="1"/>
    <col min="15" max="15" width="14.77734375" customWidth="1"/>
  </cols>
  <sheetData>
    <row r="1" spans="1:18" ht="15.75" customHeight="1">
      <c r="A1" s="392" t="s">
        <v>87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</row>
    <row r="2" spans="1:18" ht="15.75" customHeight="1">
      <c r="A2" s="460" t="s">
        <v>733</v>
      </c>
      <c r="B2" s="364"/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2"/>
    </row>
    <row r="3" spans="1:18" ht="15.75" customHeight="1">
      <c r="A3" s="461" t="s">
        <v>734</v>
      </c>
      <c r="B3" s="362"/>
      <c r="C3" s="337" t="s">
        <v>818</v>
      </c>
      <c r="D3" s="337" t="s">
        <v>736</v>
      </c>
      <c r="E3" s="461" t="s">
        <v>1</v>
      </c>
      <c r="F3" s="364"/>
      <c r="G3" s="364"/>
      <c r="H3" s="364"/>
      <c r="I3" s="462" t="s">
        <v>819</v>
      </c>
      <c r="J3" s="366"/>
      <c r="K3" s="366"/>
      <c r="L3" s="366"/>
      <c r="M3" s="366"/>
      <c r="N3" s="366"/>
      <c r="O3" s="366"/>
      <c r="P3" s="366"/>
      <c r="Q3" s="366"/>
      <c r="R3" s="313"/>
    </row>
    <row r="4" spans="1:18" ht="15.75" customHeight="1">
      <c r="A4" s="463" t="s">
        <v>7</v>
      </c>
      <c r="B4" s="464" t="s">
        <v>8</v>
      </c>
      <c r="C4" s="458" t="s">
        <v>9</v>
      </c>
      <c r="D4" s="362"/>
      <c r="E4" s="458" t="s">
        <v>10</v>
      </c>
      <c r="F4" s="362"/>
      <c r="G4" s="458" t="s">
        <v>11</v>
      </c>
      <c r="H4" s="362"/>
      <c r="I4" s="458" t="s">
        <v>777</v>
      </c>
      <c r="J4" s="362"/>
      <c r="K4" s="458" t="s">
        <v>778</v>
      </c>
      <c r="L4" s="362"/>
      <c r="M4" s="458" t="s">
        <v>779</v>
      </c>
      <c r="N4" s="362"/>
      <c r="O4" s="421" t="s">
        <v>820</v>
      </c>
      <c r="P4" s="362"/>
      <c r="Q4" s="459" t="s">
        <v>15</v>
      </c>
      <c r="R4" s="362"/>
    </row>
    <row r="5" spans="1:18" ht="15.75" customHeight="1">
      <c r="A5" s="381"/>
      <c r="B5" s="381"/>
      <c r="C5" s="338" t="s">
        <v>17</v>
      </c>
      <c r="D5" s="339">
        <v>40</v>
      </c>
      <c r="E5" s="338" t="s">
        <v>17</v>
      </c>
      <c r="F5" s="339">
        <v>40</v>
      </c>
      <c r="G5" s="338" t="s">
        <v>17</v>
      </c>
      <c r="H5" s="339">
        <v>40</v>
      </c>
      <c r="I5" s="338" t="s">
        <v>17</v>
      </c>
      <c r="J5" s="340">
        <v>40</v>
      </c>
      <c r="K5" s="338" t="s">
        <v>17</v>
      </c>
      <c r="L5" s="339">
        <v>35</v>
      </c>
      <c r="M5" s="338" t="s">
        <v>17</v>
      </c>
      <c r="N5" s="339">
        <v>40</v>
      </c>
      <c r="O5" s="338" t="s">
        <v>17</v>
      </c>
      <c r="P5" s="339">
        <v>35</v>
      </c>
      <c r="Q5" s="341" t="s">
        <v>17</v>
      </c>
      <c r="R5" s="342">
        <v>500</v>
      </c>
    </row>
    <row r="6" spans="1:18" ht="15.75" customHeight="1">
      <c r="A6" s="382"/>
      <c r="B6" s="382"/>
      <c r="C6" s="343" t="s">
        <v>18</v>
      </c>
      <c r="D6" s="344" t="s">
        <v>19</v>
      </c>
      <c r="E6" s="343" t="s">
        <v>18</v>
      </c>
      <c r="F6" s="344" t="s">
        <v>19</v>
      </c>
      <c r="G6" s="343" t="s">
        <v>18</v>
      </c>
      <c r="H6" s="344" t="s">
        <v>19</v>
      </c>
      <c r="I6" s="343" t="s">
        <v>18</v>
      </c>
      <c r="J6" s="344" t="s">
        <v>19</v>
      </c>
      <c r="K6" s="343" t="s">
        <v>18</v>
      </c>
      <c r="L6" s="344" t="s">
        <v>19</v>
      </c>
      <c r="M6" s="343" t="s">
        <v>18</v>
      </c>
      <c r="N6" s="344" t="s">
        <v>19</v>
      </c>
      <c r="O6" s="345" t="s">
        <v>18</v>
      </c>
      <c r="P6" s="344" t="s">
        <v>19</v>
      </c>
      <c r="Q6" s="346" t="s">
        <v>18</v>
      </c>
      <c r="R6" s="347" t="s">
        <v>19</v>
      </c>
    </row>
    <row r="7" spans="1:18" ht="15.75" customHeight="1">
      <c r="A7" s="348">
        <v>1</v>
      </c>
      <c r="B7" s="349" t="s">
        <v>821</v>
      </c>
      <c r="C7" s="348">
        <v>23</v>
      </c>
      <c r="D7" s="294">
        <f t="shared" ref="D7:D47" si="0">IF($B7="","",IF(C7=""," ",IF(C7="AB","AB",(C7/$D$5)*100)))</f>
        <v>57.499999999999993</v>
      </c>
      <c r="E7" s="22"/>
      <c r="F7" s="294" t="str">
        <f t="shared" ref="F7:F46" si="1">IF($B7="","",IF(E7=""," ",IF(E7="AB","AB",(E7/$F$5)*100)))</f>
        <v xml:space="preserve"> </v>
      </c>
      <c r="G7" s="350">
        <v>5</v>
      </c>
      <c r="H7" s="294">
        <f t="shared" ref="H7:H15" si="2">IF($B7="","",IF(G7=""," ",IF(G7="AB","AB",(G7/$H$5)*100)))</f>
        <v>12.5</v>
      </c>
      <c r="I7" s="348">
        <v>13</v>
      </c>
      <c r="J7" s="294">
        <f t="shared" ref="J7:J39" si="3">IF($B7="","",IF(I7=""," ",IF(I7="AB","AB",(I7/$J$5)*100)))</f>
        <v>32.5</v>
      </c>
      <c r="K7" s="351">
        <v>19</v>
      </c>
      <c r="L7" s="294">
        <f t="shared" ref="L7:L21" si="4">IF($B7="","",IF(K7=""," ",IF(K7="AB","AB",(K7/$L$5)*100)))</f>
        <v>54.285714285714285</v>
      </c>
      <c r="M7" s="348">
        <v>16</v>
      </c>
      <c r="N7" s="294">
        <f t="shared" ref="N7:N47" si="5">IF($B7="","",IF(M7=""," ",IF(M7="AB","AB",(M7/$N$5)*100)))</f>
        <v>40</v>
      </c>
      <c r="O7" s="22"/>
      <c r="P7" s="294" t="str">
        <f t="shared" ref="P7:P44" si="6">IF($B7="","",IF(O7=""," ",IF(O7="AB","AB",(O7/$P$5)*100)))</f>
        <v xml:space="preserve"> </v>
      </c>
      <c r="Q7" s="327">
        <f t="shared" ref="Q7:Q46" si="7">SUM(D7,F7,H7,J7,L7,N7,P7)</f>
        <v>196.78571428571428</v>
      </c>
      <c r="R7" s="328">
        <f t="shared" ref="R7:R46" si="8">Q7*100/$R$5</f>
        <v>39.357142857142854</v>
      </c>
    </row>
    <row r="8" spans="1:18" ht="15.75" customHeight="1">
      <c r="A8" s="348">
        <v>2</v>
      </c>
      <c r="B8" s="352" t="s">
        <v>822</v>
      </c>
      <c r="C8" s="348">
        <v>23</v>
      </c>
      <c r="D8" s="294">
        <f t="shared" si="0"/>
        <v>57.499999999999993</v>
      </c>
      <c r="E8" s="22"/>
      <c r="F8" s="294" t="str">
        <f t="shared" si="1"/>
        <v xml:space="preserve"> </v>
      </c>
      <c r="G8" s="353">
        <v>7</v>
      </c>
      <c r="H8" s="294">
        <f t="shared" si="2"/>
        <v>17.5</v>
      </c>
      <c r="I8" s="348">
        <v>15</v>
      </c>
      <c r="J8" s="294">
        <f t="shared" si="3"/>
        <v>37.5</v>
      </c>
      <c r="K8" s="351">
        <v>16</v>
      </c>
      <c r="L8" s="294">
        <f t="shared" si="4"/>
        <v>45.714285714285715</v>
      </c>
      <c r="M8" s="348">
        <v>21</v>
      </c>
      <c r="N8" s="294">
        <f t="shared" si="5"/>
        <v>52.5</v>
      </c>
      <c r="O8" s="22"/>
      <c r="P8" s="294" t="str">
        <f t="shared" si="6"/>
        <v xml:space="preserve"> </v>
      </c>
      <c r="Q8" s="327">
        <f t="shared" si="7"/>
        <v>210.71428571428572</v>
      </c>
      <c r="R8" s="328">
        <f t="shared" si="8"/>
        <v>42.142857142857146</v>
      </c>
    </row>
    <row r="9" spans="1:18" ht="15.75" customHeight="1">
      <c r="A9" s="348">
        <v>3</v>
      </c>
      <c r="B9" s="352" t="s">
        <v>823</v>
      </c>
      <c r="C9" s="348">
        <v>26</v>
      </c>
      <c r="D9" s="294">
        <f t="shared" si="0"/>
        <v>65</v>
      </c>
      <c r="E9" s="22"/>
      <c r="F9" s="294" t="str">
        <f t="shared" si="1"/>
        <v xml:space="preserve"> </v>
      </c>
      <c r="G9" s="353">
        <v>15</v>
      </c>
      <c r="H9" s="294">
        <f t="shared" si="2"/>
        <v>37.5</v>
      </c>
      <c r="I9" s="348">
        <v>13</v>
      </c>
      <c r="J9" s="294">
        <f t="shared" si="3"/>
        <v>32.5</v>
      </c>
      <c r="K9" s="351">
        <v>16</v>
      </c>
      <c r="L9" s="294">
        <f t="shared" si="4"/>
        <v>45.714285714285715</v>
      </c>
      <c r="M9" s="348">
        <v>17</v>
      </c>
      <c r="N9" s="294">
        <f t="shared" si="5"/>
        <v>42.5</v>
      </c>
      <c r="O9" s="22"/>
      <c r="P9" s="294" t="str">
        <f t="shared" si="6"/>
        <v xml:space="preserve"> </v>
      </c>
      <c r="Q9" s="327">
        <f t="shared" si="7"/>
        <v>223.21428571428572</v>
      </c>
      <c r="R9" s="328">
        <f t="shared" si="8"/>
        <v>44.642857142857146</v>
      </c>
    </row>
    <row r="10" spans="1:18" ht="15.75" customHeight="1">
      <c r="A10" s="348">
        <v>4</v>
      </c>
      <c r="B10" s="352" t="s">
        <v>824</v>
      </c>
      <c r="C10" s="348">
        <v>31</v>
      </c>
      <c r="D10" s="294">
        <f t="shared" si="0"/>
        <v>77.5</v>
      </c>
      <c r="E10" s="22"/>
      <c r="F10" s="294" t="str">
        <f t="shared" si="1"/>
        <v xml:space="preserve"> </v>
      </c>
      <c r="G10" s="353">
        <v>29</v>
      </c>
      <c r="H10" s="294">
        <f t="shared" si="2"/>
        <v>72.5</v>
      </c>
      <c r="I10" s="348">
        <v>27</v>
      </c>
      <c r="J10" s="294">
        <f t="shared" si="3"/>
        <v>67.5</v>
      </c>
      <c r="K10" s="351">
        <v>32</v>
      </c>
      <c r="L10" s="294">
        <f t="shared" si="4"/>
        <v>91.428571428571431</v>
      </c>
      <c r="M10" s="22" t="s">
        <v>825</v>
      </c>
      <c r="N10" s="294" t="e">
        <f t="shared" si="5"/>
        <v>#VALUE!</v>
      </c>
      <c r="O10" s="348">
        <v>25</v>
      </c>
      <c r="P10" s="294">
        <f t="shared" si="6"/>
        <v>71.428571428571431</v>
      </c>
      <c r="Q10" s="327" t="e">
        <f t="shared" si="7"/>
        <v>#VALUE!</v>
      </c>
      <c r="R10" s="328" t="e">
        <f t="shared" si="8"/>
        <v>#VALUE!</v>
      </c>
    </row>
    <row r="11" spans="1:18" ht="15.75" customHeight="1">
      <c r="A11" s="348">
        <v>5</v>
      </c>
      <c r="B11" s="352" t="s">
        <v>826</v>
      </c>
      <c r="C11" s="348">
        <v>32</v>
      </c>
      <c r="D11" s="294">
        <f t="shared" si="0"/>
        <v>80</v>
      </c>
      <c r="E11" s="22"/>
      <c r="F11" s="294" t="str">
        <f t="shared" si="1"/>
        <v xml:space="preserve"> </v>
      </c>
      <c r="G11" s="353">
        <v>14</v>
      </c>
      <c r="H11" s="294">
        <f t="shared" si="2"/>
        <v>35</v>
      </c>
      <c r="I11" s="348">
        <v>21</v>
      </c>
      <c r="J11" s="294">
        <f t="shared" si="3"/>
        <v>52.5</v>
      </c>
      <c r="K11" s="351">
        <v>25</v>
      </c>
      <c r="L11" s="294">
        <f t="shared" si="4"/>
        <v>71.428571428571431</v>
      </c>
      <c r="M11" s="348">
        <v>26</v>
      </c>
      <c r="N11" s="294">
        <f t="shared" si="5"/>
        <v>65</v>
      </c>
      <c r="O11" s="22"/>
      <c r="P11" s="294" t="str">
        <f t="shared" si="6"/>
        <v xml:space="preserve"> </v>
      </c>
      <c r="Q11" s="327">
        <f t="shared" si="7"/>
        <v>303.92857142857144</v>
      </c>
      <c r="R11" s="328">
        <f t="shared" si="8"/>
        <v>60.785714285714292</v>
      </c>
    </row>
    <row r="12" spans="1:18" ht="15.75" customHeight="1">
      <c r="A12" s="348">
        <v>6</v>
      </c>
      <c r="B12" s="352" t="s">
        <v>827</v>
      </c>
      <c r="C12" s="348">
        <v>17</v>
      </c>
      <c r="D12" s="294">
        <f t="shared" si="0"/>
        <v>42.5</v>
      </c>
      <c r="E12" s="22"/>
      <c r="F12" s="294" t="str">
        <f t="shared" si="1"/>
        <v xml:space="preserve"> </v>
      </c>
      <c r="G12" s="353">
        <v>6</v>
      </c>
      <c r="H12" s="294">
        <f t="shared" si="2"/>
        <v>15</v>
      </c>
      <c r="I12" s="348">
        <v>13</v>
      </c>
      <c r="J12" s="294">
        <f t="shared" si="3"/>
        <v>32.5</v>
      </c>
      <c r="K12" s="351">
        <v>12</v>
      </c>
      <c r="L12" s="294">
        <f t="shared" si="4"/>
        <v>34.285714285714285</v>
      </c>
      <c r="M12" s="348">
        <v>17</v>
      </c>
      <c r="N12" s="294">
        <f t="shared" si="5"/>
        <v>42.5</v>
      </c>
      <c r="O12" s="22"/>
      <c r="P12" s="294" t="str">
        <f t="shared" si="6"/>
        <v xml:space="preserve"> </v>
      </c>
      <c r="Q12" s="327">
        <f t="shared" si="7"/>
        <v>166.78571428571428</v>
      </c>
      <c r="R12" s="328">
        <f t="shared" si="8"/>
        <v>33.357142857142854</v>
      </c>
    </row>
    <row r="13" spans="1:18" ht="15.75" customHeight="1">
      <c r="A13" s="348">
        <v>7</v>
      </c>
      <c r="B13" s="352" t="s">
        <v>828</v>
      </c>
      <c r="C13" s="348">
        <v>32</v>
      </c>
      <c r="D13" s="294">
        <f t="shared" si="0"/>
        <v>80</v>
      </c>
      <c r="E13" s="22"/>
      <c r="F13" s="294" t="str">
        <f t="shared" si="1"/>
        <v xml:space="preserve"> </v>
      </c>
      <c r="G13" s="353">
        <v>7</v>
      </c>
      <c r="H13" s="294">
        <f t="shared" si="2"/>
        <v>17.5</v>
      </c>
      <c r="I13" s="348">
        <v>15</v>
      </c>
      <c r="J13" s="294">
        <f t="shared" si="3"/>
        <v>37.5</v>
      </c>
      <c r="K13" s="351">
        <v>21</v>
      </c>
      <c r="L13" s="294">
        <f t="shared" si="4"/>
        <v>60</v>
      </c>
      <c r="M13" s="348">
        <v>21</v>
      </c>
      <c r="N13" s="294">
        <f t="shared" si="5"/>
        <v>52.5</v>
      </c>
      <c r="O13" s="22"/>
      <c r="P13" s="294" t="str">
        <f t="shared" si="6"/>
        <v xml:space="preserve"> </v>
      </c>
      <c r="Q13" s="327">
        <f t="shared" si="7"/>
        <v>247.5</v>
      </c>
      <c r="R13" s="328">
        <f t="shared" si="8"/>
        <v>49.5</v>
      </c>
    </row>
    <row r="14" spans="1:18" ht="15.75" customHeight="1">
      <c r="A14" s="348">
        <v>8</v>
      </c>
      <c r="B14" s="352" t="s">
        <v>829</v>
      </c>
      <c r="C14" s="348">
        <v>29</v>
      </c>
      <c r="D14" s="294">
        <f t="shared" si="0"/>
        <v>72.5</v>
      </c>
      <c r="E14" s="22"/>
      <c r="F14" s="294" t="str">
        <f t="shared" si="1"/>
        <v xml:space="preserve"> </v>
      </c>
      <c r="G14" s="353">
        <v>29</v>
      </c>
      <c r="H14" s="294">
        <f t="shared" si="2"/>
        <v>72.5</v>
      </c>
      <c r="I14" s="348">
        <v>37</v>
      </c>
      <c r="J14" s="294">
        <f t="shared" si="3"/>
        <v>92.5</v>
      </c>
      <c r="K14" s="351">
        <v>29</v>
      </c>
      <c r="L14" s="294">
        <f t="shared" si="4"/>
        <v>82.857142857142861</v>
      </c>
      <c r="M14" s="348">
        <v>28</v>
      </c>
      <c r="N14" s="294">
        <f t="shared" si="5"/>
        <v>70</v>
      </c>
      <c r="O14" s="22"/>
      <c r="P14" s="294" t="str">
        <f t="shared" si="6"/>
        <v xml:space="preserve"> </v>
      </c>
      <c r="Q14" s="327">
        <f t="shared" si="7"/>
        <v>390.35714285714289</v>
      </c>
      <c r="R14" s="328">
        <f t="shared" si="8"/>
        <v>78.071428571428584</v>
      </c>
    </row>
    <row r="15" spans="1:18" ht="15.75" customHeight="1">
      <c r="A15" s="348">
        <v>9</v>
      </c>
      <c r="B15" s="352" t="s">
        <v>830</v>
      </c>
      <c r="C15" s="348">
        <v>24</v>
      </c>
      <c r="D15" s="294">
        <f t="shared" si="0"/>
        <v>60</v>
      </c>
      <c r="E15" s="22"/>
      <c r="F15" s="294" t="str">
        <f t="shared" si="1"/>
        <v xml:space="preserve"> </v>
      </c>
      <c r="G15" s="353">
        <v>7</v>
      </c>
      <c r="H15" s="294">
        <f t="shared" si="2"/>
        <v>17.5</v>
      </c>
      <c r="I15" s="348">
        <v>17</v>
      </c>
      <c r="J15" s="294">
        <f t="shared" si="3"/>
        <v>42.5</v>
      </c>
      <c r="K15" s="351">
        <v>17</v>
      </c>
      <c r="L15" s="294">
        <f t="shared" si="4"/>
        <v>48.571428571428569</v>
      </c>
      <c r="M15" s="348">
        <v>16</v>
      </c>
      <c r="N15" s="294">
        <f t="shared" si="5"/>
        <v>40</v>
      </c>
      <c r="O15" s="22"/>
      <c r="P15" s="294" t="str">
        <f t="shared" si="6"/>
        <v xml:space="preserve"> </v>
      </c>
      <c r="Q15" s="327">
        <f t="shared" si="7"/>
        <v>208.57142857142856</v>
      </c>
      <c r="R15" s="328">
        <f t="shared" si="8"/>
        <v>41.714285714285708</v>
      </c>
    </row>
    <row r="16" spans="1:18" ht="15.75" customHeight="1">
      <c r="A16" s="348">
        <v>10</v>
      </c>
      <c r="B16" s="352" t="s">
        <v>831</v>
      </c>
      <c r="C16" s="348">
        <v>25</v>
      </c>
      <c r="D16" s="294">
        <f t="shared" si="0"/>
        <v>62.5</v>
      </c>
      <c r="E16" s="22"/>
      <c r="F16" s="294" t="str">
        <f t="shared" si="1"/>
        <v xml:space="preserve"> </v>
      </c>
      <c r="G16" s="353">
        <v>12</v>
      </c>
      <c r="H16" s="294">
        <v>33</v>
      </c>
      <c r="I16" s="348">
        <v>17</v>
      </c>
      <c r="J16" s="294">
        <f t="shared" si="3"/>
        <v>42.5</v>
      </c>
      <c r="K16" s="351">
        <v>15</v>
      </c>
      <c r="L16" s="294">
        <f t="shared" si="4"/>
        <v>42.857142857142854</v>
      </c>
      <c r="M16" s="348">
        <v>10</v>
      </c>
      <c r="N16" s="294">
        <f t="shared" si="5"/>
        <v>25</v>
      </c>
      <c r="O16" s="22"/>
      <c r="P16" s="294" t="str">
        <f t="shared" si="6"/>
        <v xml:space="preserve"> </v>
      </c>
      <c r="Q16" s="327">
        <f t="shared" si="7"/>
        <v>205.85714285714286</v>
      </c>
      <c r="R16" s="328">
        <f t="shared" si="8"/>
        <v>41.171428571428571</v>
      </c>
    </row>
    <row r="17" spans="1:18" ht="15.75" customHeight="1">
      <c r="A17" s="348">
        <v>11</v>
      </c>
      <c r="B17" s="352" t="s">
        <v>832</v>
      </c>
      <c r="C17" s="348">
        <v>24</v>
      </c>
      <c r="D17" s="294">
        <f t="shared" si="0"/>
        <v>60</v>
      </c>
      <c r="E17" s="22"/>
      <c r="F17" s="294" t="str">
        <f t="shared" si="1"/>
        <v xml:space="preserve"> </v>
      </c>
      <c r="G17" s="353">
        <v>13</v>
      </c>
      <c r="H17" s="294">
        <f t="shared" ref="H17:H47" si="9">IF($B17="","",IF(G17=""," ",IF(G17="AB","AB",(G17/$H$5)*100)))</f>
        <v>32.5</v>
      </c>
      <c r="I17" s="348">
        <v>16</v>
      </c>
      <c r="J17" s="294">
        <f t="shared" si="3"/>
        <v>40</v>
      </c>
      <c r="K17" s="351">
        <v>17</v>
      </c>
      <c r="L17" s="294">
        <f t="shared" si="4"/>
        <v>48.571428571428569</v>
      </c>
      <c r="M17" s="348">
        <v>12</v>
      </c>
      <c r="N17" s="294">
        <f t="shared" si="5"/>
        <v>30</v>
      </c>
      <c r="O17" s="22"/>
      <c r="P17" s="294" t="str">
        <f t="shared" si="6"/>
        <v xml:space="preserve"> </v>
      </c>
      <c r="Q17" s="327">
        <f t="shared" si="7"/>
        <v>211.07142857142856</v>
      </c>
      <c r="R17" s="328">
        <f t="shared" si="8"/>
        <v>42.214285714285708</v>
      </c>
    </row>
    <row r="18" spans="1:18" ht="15.75" customHeight="1">
      <c r="A18" s="348">
        <v>12</v>
      </c>
      <c r="B18" s="352" t="s">
        <v>833</v>
      </c>
      <c r="C18" s="348">
        <v>25</v>
      </c>
      <c r="D18" s="294">
        <f t="shared" si="0"/>
        <v>62.5</v>
      </c>
      <c r="E18" s="22"/>
      <c r="F18" s="294" t="str">
        <f t="shared" si="1"/>
        <v xml:space="preserve"> </v>
      </c>
      <c r="G18" s="353">
        <v>11</v>
      </c>
      <c r="H18" s="294">
        <f t="shared" si="9"/>
        <v>27.500000000000004</v>
      </c>
      <c r="I18" s="348">
        <v>14</v>
      </c>
      <c r="J18" s="294">
        <f t="shared" si="3"/>
        <v>35</v>
      </c>
      <c r="K18" s="351">
        <v>12</v>
      </c>
      <c r="L18" s="294">
        <f t="shared" si="4"/>
        <v>34.285714285714285</v>
      </c>
      <c r="M18" s="348">
        <v>15</v>
      </c>
      <c r="N18" s="294">
        <f t="shared" si="5"/>
        <v>37.5</v>
      </c>
      <c r="O18" s="22"/>
      <c r="P18" s="294" t="str">
        <f t="shared" si="6"/>
        <v xml:space="preserve"> </v>
      </c>
      <c r="Q18" s="327">
        <f t="shared" si="7"/>
        <v>196.78571428571428</v>
      </c>
      <c r="R18" s="328">
        <f t="shared" si="8"/>
        <v>39.357142857142854</v>
      </c>
    </row>
    <row r="19" spans="1:18" ht="15.75" customHeight="1">
      <c r="A19" s="348">
        <v>13</v>
      </c>
      <c r="B19" s="352" t="s">
        <v>834</v>
      </c>
      <c r="C19" s="348">
        <v>31</v>
      </c>
      <c r="D19" s="294">
        <f t="shared" si="0"/>
        <v>77.5</v>
      </c>
      <c r="E19" s="22"/>
      <c r="F19" s="294" t="str">
        <f t="shared" si="1"/>
        <v xml:space="preserve"> </v>
      </c>
      <c r="G19" s="353">
        <v>26</v>
      </c>
      <c r="H19" s="294">
        <f t="shared" si="9"/>
        <v>65</v>
      </c>
      <c r="I19" s="348">
        <v>36</v>
      </c>
      <c r="J19" s="294">
        <f t="shared" si="3"/>
        <v>90</v>
      </c>
      <c r="K19" s="351">
        <v>29</v>
      </c>
      <c r="L19" s="294">
        <f t="shared" si="4"/>
        <v>82.857142857142861</v>
      </c>
      <c r="M19" s="348">
        <v>28</v>
      </c>
      <c r="N19" s="294">
        <f t="shared" si="5"/>
        <v>70</v>
      </c>
      <c r="O19" s="22"/>
      <c r="P19" s="294" t="str">
        <f t="shared" si="6"/>
        <v xml:space="preserve"> </v>
      </c>
      <c r="Q19" s="327">
        <f t="shared" si="7"/>
        <v>385.35714285714289</v>
      </c>
      <c r="R19" s="328">
        <f t="shared" si="8"/>
        <v>77.071428571428584</v>
      </c>
    </row>
    <row r="20" spans="1:18" ht="15.75" customHeight="1">
      <c r="A20" s="348">
        <v>14</v>
      </c>
      <c r="B20" s="352" t="s">
        <v>835</v>
      </c>
      <c r="C20" s="348">
        <v>9</v>
      </c>
      <c r="D20" s="294">
        <f t="shared" si="0"/>
        <v>22.5</v>
      </c>
      <c r="E20" s="22"/>
      <c r="F20" s="294" t="str">
        <f t="shared" si="1"/>
        <v xml:space="preserve"> </v>
      </c>
      <c r="G20" s="353">
        <v>3</v>
      </c>
      <c r="H20" s="294">
        <f t="shared" si="9"/>
        <v>7.5</v>
      </c>
      <c r="I20" s="348">
        <v>13</v>
      </c>
      <c r="J20" s="294">
        <f t="shared" si="3"/>
        <v>32.5</v>
      </c>
      <c r="K20" s="351">
        <v>12</v>
      </c>
      <c r="L20" s="294">
        <f t="shared" si="4"/>
        <v>34.285714285714285</v>
      </c>
      <c r="M20" s="348">
        <v>13</v>
      </c>
      <c r="N20" s="294">
        <f t="shared" si="5"/>
        <v>32.5</v>
      </c>
      <c r="O20" s="22"/>
      <c r="P20" s="294" t="str">
        <f t="shared" si="6"/>
        <v xml:space="preserve"> </v>
      </c>
      <c r="Q20" s="327">
        <f t="shared" si="7"/>
        <v>129.28571428571428</v>
      </c>
      <c r="R20" s="328">
        <f t="shared" si="8"/>
        <v>25.857142857142854</v>
      </c>
    </row>
    <row r="21" spans="1:18" ht="15.75" customHeight="1">
      <c r="A21" s="348">
        <v>15</v>
      </c>
      <c r="B21" s="352" t="s">
        <v>836</v>
      </c>
      <c r="C21" s="348">
        <v>26</v>
      </c>
      <c r="D21" s="294">
        <f t="shared" si="0"/>
        <v>65</v>
      </c>
      <c r="E21" s="22"/>
      <c r="F21" s="294" t="str">
        <f t="shared" si="1"/>
        <v xml:space="preserve"> </v>
      </c>
      <c r="G21" s="353">
        <v>17</v>
      </c>
      <c r="H21" s="294">
        <f t="shared" si="9"/>
        <v>42.5</v>
      </c>
      <c r="I21" s="348">
        <v>27</v>
      </c>
      <c r="J21" s="294">
        <f t="shared" si="3"/>
        <v>67.5</v>
      </c>
      <c r="K21" s="351">
        <v>18</v>
      </c>
      <c r="L21" s="294">
        <f t="shared" si="4"/>
        <v>51.428571428571423</v>
      </c>
      <c r="M21" s="354">
        <v>20</v>
      </c>
      <c r="N21" s="294">
        <f t="shared" si="5"/>
        <v>50</v>
      </c>
      <c r="O21" s="22"/>
      <c r="P21" s="294" t="str">
        <f t="shared" si="6"/>
        <v xml:space="preserve"> </v>
      </c>
      <c r="Q21" s="327">
        <f t="shared" si="7"/>
        <v>276.42857142857144</v>
      </c>
      <c r="R21" s="328">
        <f t="shared" si="8"/>
        <v>55.285714285714292</v>
      </c>
    </row>
    <row r="22" spans="1:18" ht="15.75" customHeight="1">
      <c r="A22" s="348">
        <v>16</v>
      </c>
      <c r="B22" s="352" t="s">
        <v>837</v>
      </c>
      <c r="C22" s="348">
        <v>29</v>
      </c>
      <c r="D22" s="294">
        <f t="shared" si="0"/>
        <v>72.5</v>
      </c>
      <c r="E22" s="22"/>
      <c r="F22" s="294" t="str">
        <f t="shared" si="1"/>
        <v xml:space="preserve"> </v>
      </c>
      <c r="G22" s="353" t="s">
        <v>742</v>
      </c>
      <c r="H22" s="294" t="e">
        <f t="shared" si="9"/>
        <v>#VALUE!</v>
      </c>
      <c r="I22" s="348">
        <v>14</v>
      </c>
      <c r="J22" s="294">
        <f t="shared" si="3"/>
        <v>35</v>
      </c>
      <c r="K22" s="351">
        <v>12</v>
      </c>
      <c r="L22" s="294">
        <v>34</v>
      </c>
      <c r="M22" s="354">
        <v>7</v>
      </c>
      <c r="N22" s="294">
        <f t="shared" si="5"/>
        <v>17.5</v>
      </c>
      <c r="O22" s="355">
        <v>11</v>
      </c>
      <c r="P22" s="294">
        <f t="shared" si="6"/>
        <v>31.428571428571427</v>
      </c>
      <c r="Q22" s="327" t="e">
        <f t="shared" si="7"/>
        <v>#VALUE!</v>
      </c>
      <c r="R22" s="328" t="e">
        <f t="shared" si="8"/>
        <v>#VALUE!</v>
      </c>
    </row>
    <row r="23" spans="1:18" ht="15.75" customHeight="1">
      <c r="A23" s="348">
        <v>17</v>
      </c>
      <c r="B23" s="352" t="s">
        <v>838</v>
      </c>
      <c r="C23" s="348">
        <v>21</v>
      </c>
      <c r="D23" s="294">
        <f t="shared" si="0"/>
        <v>52.5</v>
      </c>
      <c r="E23" s="22"/>
      <c r="F23" s="294" t="str">
        <f t="shared" si="1"/>
        <v xml:space="preserve"> </v>
      </c>
      <c r="G23" s="353">
        <v>10</v>
      </c>
      <c r="H23" s="294">
        <f t="shared" si="9"/>
        <v>25</v>
      </c>
      <c r="I23" s="348">
        <v>23</v>
      </c>
      <c r="J23" s="294">
        <f t="shared" si="3"/>
        <v>57.499999999999993</v>
      </c>
      <c r="K23" s="351">
        <v>14</v>
      </c>
      <c r="L23" s="294">
        <f t="shared" ref="L23:L48" si="10">IF($B23="","",IF(K23=""," ",IF(K23="AB","AB",(K23/$L$5)*100)))</f>
        <v>40</v>
      </c>
      <c r="M23" s="354">
        <v>20</v>
      </c>
      <c r="N23" s="294">
        <f t="shared" si="5"/>
        <v>50</v>
      </c>
      <c r="O23" s="22"/>
      <c r="P23" s="294" t="str">
        <f t="shared" si="6"/>
        <v xml:space="preserve"> </v>
      </c>
      <c r="Q23" s="327">
        <f t="shared" si="7"/>
        <v>225</v>
      </c>
      <c r="R23" s="328">
        <f t="shared" si="8"/>
        <v>45</v>
      </c>
    </row>
    <row r="24" spans="1:18" ht="15.75" customHeight="1">
      <c r="A24" s="348">
        <v>18</v>
      </c>
      <c r="B24" s="352" t="s">
        <v>839</v>
      </c>
      <c r="C24" s="348">
        <v>24</v>
      </c>
      <c r="D24" s="294">
        <f t="shared" si="0"/>
        <v>60</v>
      </c>
      <c r="E24" s="22"/>
      <c r="F24" s="294" t="str">
        <f t="shared" si="1"/>
        <v xml:space="preserve"> </v>
      </c>
      <c r="G24" s="353">
        <v>8</v>
      </c>
      <c r="H24" s="294">
        <f t="shared" si="9"/>
        <v>20</v>
      </c>
      <c r="I24" s="348">
        <v>13</v>
      </c>
      <c r="J24" s="294">
        <f t="shared" si="3"/>
        <v>32.5</v>
      </c>
      <c r="K24" s="351">
        <v>17</v>
      </c>
      <c r="L24" s="294">
        <f t="shared" si="10"/>
        <v>48.571428571428569</v>
      </c>
      <c r="M24" s="354">
        <v>11</v>
      </c>
      <c r="N24" s="294">
        <f t="shared" si="5"/>
        <v>27.500000000000004</v>
      </c>
      <c r="O24" s="22"/>
      <c r="P24" s="294" t="str">
        <f t="shared" si="6"/>
        <v xml:space="preserve"> </v>
      </c>
      <c r="Q24" s="327">
        <f t="shared" si="7"/>
        <v>188.57142857142856</v>
      </c>
      <c r="R24" s="328">
        <f t="shared" si="8"/>
        <v>37.714285714285708</v>
      </c>
    </row>
    <row r="25" spans="1:18" ht="15.75" customHeight="1">
      <c r="A25" s="348">
        <v>19</v>
      </c>
      <c r="B25" s="352" t="s">
        <v>840</v>
      </c>
      <c r="C25" s="348">
        <v>31</v>
      </c>
      <c r="D25" s="294">
        <f t="shared" si="0"/>
        <v>77.5</v>
      </c>
      <c r="E25" s="22"/>
      <c r="F25" s="294" t="str">
        <f t="shared" si="1"/>
        <v xml:space="preserve"> </v>
      </c>
      <c r="G25" s="353">
        <v>17</v>
      </c>
      <c r="H25" s="294">
        <f t="shared" si="9"/>
        <v>42.5</v>
      </c>
      <c r="I25" s="348">
        <v>26</v>
      </c>
      <c r="J25" s="294">
        <f t="shared" si="3"/>
        <v>65</v>
      </c>
      <c r="K25" s="351">
        <v>27</v>
      </c>
      <c r="L25" s="294">
        <f t="shared" si="10"/>
        <v>77.142857142857153</v>
      </c>
      <c r="M25" s="354">
        <v>18</v>
      </c>
      <c r="N25" s="294">
        <f t="shared" si="5"/>
        <v>45</v>
      </c>
      <c r="O25" s="22"/>
      <c r="P25" s="294" t="str">
        <f t="shared" si="6"/>
        <v xml:space="preserve"> </v>
      </c>
      <c r="Q25" s="327">
        <f t="shared" si="7"/>
        <v>307.14285714285717</v>
      </c>
      <c r="R25" s="328">
        <f t="shared" si="8"/>
        <v>61.428571428571438</v>
      </c>
    </row>
    <row r="26" spans="1:18" ht="15.75" customHeight="1">
      <c r="A26" s="348">
        <v>20</v>
      </c>
      <c r="B26" s="352" t="s">
        <v>841</v>
      </c>
      <c r="C26" s="348">
        <v>30</v>
      </c>
      <c r="D26" s="294">
        <f t="shared" si="0"/>
        <v>75</v>
      </c>
      <c r="E26" s="22"/>
      <c r="F26" s="294" t="str">
        <f t="shared" si="1"/>
        <v xml:space="preserve"> </v>
      </c>
      <c r="G26" s="353">
        <v>9</v>
      </c>
      <c r="H26" s="294">
        <f t="shared" si="9"/>
        <v>22.5</v>
      </c>
      <c r="I26" s="348">
        <v>16</v>
      </c>
      <c r="J26" s="294">
        <f t="shared" si="3"/>
        <v>40</v>
      </c>
      <c r="K26" s="351">
        <v>25</v>
      </c>
      <c r="L26" s="294">
        <f t="shared" si="10"/>
        <v>71.428571428571431</v>
      </c>
      <c r="M26" s="18"/>
      <c r="N26" s="294" t="str">
        <f t="shared" si="5"/>
        <v xml:space="preserve"> </v>
      </c>
      <c r="O26" s="348">
        <v>13</v>
      </c>
      <c r="P26" s="294">
        <f t="shared" si="6"/>
        <v>37.142857142857146</v>
      </c>
      <c r="Q26" s="327">
        <f t="shared" si="7"/>
        <v>246.07142857142858</v>
      </c>
      <c r="R26" s="328">
        <f t="shared" si="8"/>
        <v>49.214285714285715</v>
      </c>
    </row>
    <row r="27" spans="1:18" ht="28.8">
      <c r="A27" s="348">
        <v>21</v>
      </c>
      <c r="B27" s="352" t="s">
        <v>842</v>
      </c>
      <c r="C27" s="348">
        <v>36</v>
      </c>
      <c r="D27" s="294">
        <f t="shared" si="0"/>
        <v>90</v>
      </c>
      <c r="E27" s="22"/>
      <c r="F27" s="294" t="str">
        <f t="shared" si="1"/>
        <v xml:space="preserve"> </v>
      </c>
      <c r="G27" s="353">
        <v>27</v>
      </c>
      <c r="H27" s="294">
        <f t="shared" si="9"/>
        <v>67.5</v>
      </c>
      <c r="I27" s="348">
        <v>36</v>
      </c>
      <c r="J27" s="294">
        <f t="shared" si="3"/>
        <v>90</v>
      </c>
      <c r="K27" s="351">
        <v>33</v>
      </c>
      <c r="L27" s="294">
        <f t="shared" si="10"/>
        <v>94.285714285714278</v>
      </c>
      <c r="M27" s="18"/>
      <c r="N27" s="294" t="str">
        <f t="shared" si="5"/>
        <v xml:space="preserve"> </v>
      </c>
      <c r="O27" s="348">
        <v>28</v>
      </c>
      <c r="P27" s="294">
        <f t="shared" si="6"/>
        <v>80</v>
      </c>
      <c r="Q27" s="327">
        <f t="shared" si="7"/>
        <v>421.78571428571428</v>
      </c>
      <c r="R27" s="328">
        <f t="shared" si="8"/>
        <v>84.357142857142861</v>
      </c>
    </row>
    <row r="28" spans="1:18" ht="28.8">
      <c r="A28" s="348">
        <v>22</v>
      </c>
      <c r="B28" s="352" t="s">
        <v>843</v>
      </c>
      <c r="C28" s="348">
        <v>34</v>
      </c>
      <c r="D28" s="294">
        <f t="shared" si="0"/>
        <v>85</v>
      </c>
      <c r="E28" s="22"/>
      <c r="F28" s="294" t="str">
        <f t="shared" si="1"/>
        <v xml:space="preserve"> </v>
      </c>
      <c r="G28" s="353">
        <v>21</v>
      </c>
      <c r="H28" s="294">
        <f t="shared" si="9"/>
        <v>52.5</v>
      </c>
      <c r="I28" s="348">
        <v>25</v>
      </c>
      <c r="J28" s="294">
        <f t="shared" si="3"/>
        <v>62.5</v>
      </c>
      <c r="K28" s="351">
        <v>24</v>
      </c>
      <c r="L28" s="294">
        <f t="shared" si="10"/>
        <v>68.571428571428569</v>
      </c>
      <c r="M28" s="18"/>
      <c r="N28" s="294" t="str">
        <f t="shared" si="5"/>
        <v xml:space="preserve"> </v>
      </c>
      <c r="O28" s="348">
        <v>21</v>
      </c>
      <c r="P28" s="294">
        <f t="shared" si="6"/>
        <v>60</v>
      </c>
      <c r="Q28" s="327">
        <f t="shared" si="7"/>
        <v>328.57142857142856</v>
      </c>
      <c r="R28" s="328">
        <f t="shared" si="8"/>
        <v>65.714285714285708</v>
      </c>
    </row>
    <row r="29" spans="1:18" ht="28.8">
      <c r="A29" s="348">
        <v>23</v>
      </c>
      <c r="B29" s="352" t="s">
        <v>844</v>
      </c>
      <c r="C29" s="348">
        <v>33</v>
      </c>
      <c r="D29" s="294">
        <f t="shared" si="0"/>
        <v>82.5</v>
      </c>
      <c r="E29" s="22"/>
      <c r="F29" s="294" t="str">
        <f t="shared" si="1"/>
        <v xml:space="preserve"> </v>
      </c>
      <c r="G29" s="353">
        <v>16</v>
      </c>
      <c r="H29" s="294">
        <f t="shared" si="9"/>
        <v>40</v>
      </c>
      <c r="I29" s="348">
        <v>20</v>
      </c>
      <c r="J29" s="294">
        <f t="shared" si="3"/>
        <v>50</v>
      </c>
      <c r="K29" s="351" t="s">
        <v>845</v>
      </c>
      <c r="L29" s="294" t="e">
        <f t="shared" si="10"/>
        <v>#VALUE!</v>
      </c>
      <c r="M29" s="18"/>
      <c r="N29" s="294" t="str">
        <f t="shared" si="5"/>
        <v xml:space="preserve"> </v>
      </c>
      <c r="O29" s="348">
        <v>27</v>
      </c>
      <c r="P29" s="294">
        <f t="shared" si="6"/>
        <v>77.142857142857153</v>
      </c>
      <c r="Q29" s="327" t="e">
        <f t="shared" si="7"/>
        <v>#VALUE!</v>
      </c>
      <c r="R29" s="328" t="e">
        <f t="shared" si="8"/>
        <v>#VALUE!</v>
      </c>
    </row>
    <row r="30" spans="1:18" ht="28.8">
      <c r="A30" s="348">
        <v>24</v>
      </c>
      <c r="B30" s="352" t="s">
        <v>846</v>
      </c>
      <c r="C30" s="348">
        <v>36</v>
      </c>
      <c r="D30" s="294">
        <f t="shared" si="0"/>
        <v>90</v>
      </c>
      <c r="E30" s="22"/>
      <c r="F30" s="294" t="str">
        <f t="shared" si="1"/>
        <v xml:space="preserve"> </v>
      </c>
      <c r="G30" s="353">
        <v>25</v>
      </c>
      <c r="H30" s="294">
        <f t="shared" si="9"/>
        <v>62.5</v>
      </c>
      <c r="I30" s="348">
        <v>24</v>
      </c>
      <c r="J30" s="294">
        <f t="shared" si="3"/>
        <v>60</v>
      </c>
      <c r="K30" s="351">
        <v>32</v>
      </c>
      <c r="L30" s="294">
        <f t="shared" si="10"/>
        <v>91.428571428571431</v>
      </c>
      <c r="M30" s="18"/>
      <c r="N30" s="294" t="str">
        <f t="shared" si="5"/>
        <v xml:space="preserve"> </v>
      </c>
      <c r="O30" s="348">
        <v>33</v>
      </c>
      <c r="P30" s="294">
        <f t="shared" si="6"/>
        <v>94.285714285714278</v>
      </c>
      <c r="Q30" s="327">
        <f t="shared" si="7"/>
        <v>398.21428571428572</v>
      </c>
      <c r="R30" s="328">
        <f t="shared" si="8"/>
        <v>79.642857142857139</v>
      </c>
    </row>
    <row r="31" spans="1:18" ht="28.8">
      <c r="A31" s="348">
        <v>25</v>
      </c>
      <c r="B31" s="352" t="s">
        <v>847</v>
      </c>
      <c r="C31" s="348">
        <v>34</v>
      </c>
      <c r="D31" s="294">
        <f t="shared" si="0"/>
        <v>85</v>
      </c>
      <c r="E31" s="22"/>
      <c r="F31" s="294" t="str">
        <f t="shared" si="1"/>
        <v xml:space="preserve"> </v>
      </c>
      <c r="G31" s="353">
        <v>28</v>
      </c>
      <c r="H31" s="294">
        <f t="shared" si="9"/>
        <v>70</v>
      </c>
      <c r="I31" s="348">
        <v>25</v>
      </c>
      <c r="J31" s="294">
        <f t="shared" si="3"/>
        <v>62.5</v>
      </c>
      <c r="K31" s="351">
        <v>22</v>
      </c>
      <c r="L31" s="294">
        <f t="shared" si="10"/>
        <v>62.857142857142854</v>
      </c>
      <c r="M31" s="18"/>
      <c r="N31" s="294" t="str">
        <f t="shared" si="5"/>
        <v xml:space="preserve"> </v>
      </c>
      <c r="O31" s="348">
        <v>28</v>
      </c>
      <c r="P31" s="294">
        <f t="shared" si="6"/>
        <v>80</v>
      </c>
      <c r="Q31" s="327">
        <f t="shared" si="7"/>
        <v>360.35714285714283</v>
      </c>
      <c r="R31" s="328">
        <f t="shared" si="8"/>
        <v>72.071428571428569</v>
      </c>
    </row>
    <row r="32" spans="1:18" ht="28.8">
      <c r="A32" s="348">
        <v>26</v>
      </c>
      <c r="B32" s="352" t="s">
        <v>848</v>
      </c>
      <c r="C32" s="348">
        <v>20</v>
      </c>
      <c r="D32" s="294">
        <f t="shared" si="0"/>
        <v>50</v>
      </c>
      <c r="E32" s="22"/>
      <c r="F32" s="294" t="str">
        <f t="shared" si="1"/>
        <v xml:space="preserve"> </v>
      </c>
      <c r="G32" s="353">
        <v>8</v>
      </c>
      <c r="H32" s="294">
        <f t="shared" si="9"/>
        <v>20</v>
      </c>
      <c r="I32" s="348">
        <v>16</v>
      </c>
      <c r="J32" s="294">
        <f t="shared" si="3"/>
        <v>40</v>
      </c>
      <c r="K32" s="351">
        <v>14</v>
      </c>
      <c r="L32" s="294">
        <f t="shared" si="10"/>
        <v>40</v>
      </c>
      <c r="M32" s="18"/>
      <c r="N32" s="294" t="str">
        <f t="shared" si="5"/>
        <v xml:space="preserve"> </v>
      </c>
      <c r="O32" s="348">
        <v>3</v>
      </c>
      <c r="P32" s="294">
        <f t="shared" si="6"/>
        <v>8.5714285714285712</v>
      </c>
      <c r="Q32" s="327">
        <f t="shared" si="7"/>
        <v>158.57142857142858</v>
      </c>
      <c r="R32" s="328">
        <f t="shared" si="8"/>
        <v>31.714285714285719</v>
      </c>
    </row>
    <row r="33" spans="1:18" ht="28.8">
      <c r="A33" s="348">
        <v>27</v>
      </c>
      <c r="B33" s="352" t="s">
        <v>849</v>
      </c>
      <c r="C33" s="348">
        <v>23</v>
      </c>
      <c r="D33" s="294">
        <f t="shared" si="0"/>
        <v>57.499999999999993</v>
      </c>
      <c r="E33" s="22"/>
      <c r="F33" s="294" t="str">
        <f t="shared" si="1"/>
        <v xml:space="preserve"> </v>
      </c>
      <c r="G33" s="353">
        <v>8</v>
      </c>
      <c r="H33" s="294">
        <f t="shared" si="9"/>
        <v>20</v>
      </c>
      <c r="I33" s="348">
        <v>15</v>
      </c>
      <c r="J33" s="294">
        <f t="shared" si="3"/>
        <v>37.5</v>
      </c>
      <c r="K33" s="351">
        <v>14</v>
      </c>
      <c r="L33" s="294">
        <f t="shared" si="10"/>
        <v>40</v>
      </c>
      <c r="M33" s="18"/>
      <c r="N33" s="294" t="str">
        <f t="shared" si="5"/>
        <v xml:space="preserve"> </v>
      </c>
      <c r="O33" s="348">
        <v>7</v>
      </c>
      <c r="P33" s="294">
        <f t="shared" si="6"/>
        <v>20</v>
      </c>
      <c r="Q33" s="327">
        <f t="shared" si="7"/>
        <v>175</v>
      </c>
      <c r="R33" s="328">
        <f t="shared" si="8"/>
        <v>35</v>
      </c>
    </row>
    <row r="34" spans="1:18" ht="28.8">
      <c r="A34" s="348">
        <v>28</v>
      </c>
      <c r="B34" s="352" t="s">
        <v>850</v>
      </c>
      <c r="C34" s="348">
        <v>27</v>
      </c>
      <c r="D34" s="294">
        <f t="shared" si="0"/>
        <v>67.5</v>
      </c>
      <c r="E34" s="22"/>
      <c r="F34" s="294" t="str">
        <f t="shared" si="1"/>
        <v xml:space="preserve"> </v>
      </c>
      <c r="G34" s="353">
        <v>11</v>
      </c>
      <c r="H34" s="294">
        <f t="shared" si="9"/>
        <v>27.500000000000004</v>
      </c>
      <c r="I34" s="348">
        <v>24</v>
      </c>
      <c r="J34" s="294">
        <f t="shared" si="3"/>
        <v>60</v>
      </c>
      <c r="K34" s="351">
        <v>18</v>
      </c>
      <c r="L34" s="294">
        <f t="shared" si="10"/>
        <v>51.428571428571423</v>
      </c>
      <c r="M34" s="18"/>
      <c r="N34" s="294" t="str">
        <f t="shared" si="5"/>
        <v xml:space="preserve"> </v>
      </c>
      <c r="O34" s="348">
        <v>25</v>
      </c>
      <c r="P34" s="294">
        <f t="shared" si="6"/>
        <v>71.428571428571431</v>
      </c>
      <c r="Q34" s="327">
        <f t="shared" si="7"/>
        <v>277.85714285714283</v>
      </c>
      <c r="R34" s="328">
        <f t="shared" si="8"/>
        <v>55.571428571428562</v>
      </c>
    </row>
    <row r="35" spans="1:18" ht="28.8">
      <c r="A35" s="348">
        <v>29</v>
      </c>
      <c r="B35" s="352" t="s">
        <v>851</v>
      </c>
      <c r="C35" s="348">
        <v>21</v>
      </c>
      <c r="D35" s="294">
        <f t="shared" si="0"/>
        <v>52.5</v>
      </c>
      <c r="E35" s="22"/>
      <c r="F35" s="294" t="str">
        <f t="shared" si="1"/>
        <v xml:space="preserve"> </v>
      </c>
      <c r="G35" s="353">
        <v>13</v>
      </c>
      <c r="H35" s="294">
        <f t="shared" si="9"/>
        <v>32.5</v>
      </c>
      <c r="I35" s="348">
        <v>26</v>
      </c>
      <c r="J35" s="294">
        <f t="shared" si="3"/>
        <v>65</v>
      </c>
      <c r="K35" s="351">
        <v>21</v>
      </c>
      <c r="L35" s="294">
        <f t="shared" si="10"/>
        <v>60</v>
      </c>
      <c r="M35" s="18"/>
      <c r="N35" s="294" t="str">
        <f t="shared" si="5"/>
        <v xml:space="preserve"> </v>
      </c>
      <c r="O35" s="348">
        <v>17</v>
      </c>
      <c r="P35" s="294">
        <f t="shared" si="6"/>
        <v>48.571428571428569</v>
      </c>
      <c r="Q35" s="327">
        <f t="shared" si="7"/>
        <v>258.57142857142856</v>
      </c>
      <c r="R35" s="328">
        <f t="shared" si="8"/>
        <v>51.714285714285708</v>
      </c>
    </row>
    <row r="36" spans="1:18" ht="28.8">
      <c r="A36" s="348">
        <v>30</v>
      </c>
      <c r="B36" s="352" t="s">
        <v>852</v>
      </c>
      <c r="C36" s="348">
        <v>30</v>
      </c>
      <c r="D36" s="294">
        <f t="shared" si="0"/>
        <v>75</v>
      </c>
      <c r="E36" s="22"/>
      <c r="F36" s="294" t="str">
        <f t="shared" si="1"/>
        <v xml:space="preserve"> </v>
      </c>
      <c r="G36" s="353" t="s">
        <v>123</v>
      </c>
      <c r="H36" s="294" t="str">
        <f t="shared" si="9"/>
        <v>AB</v>
      </c>
      <c r="I36" s="348">
        <v>22</v>
      </c>
      <c r="J36" s="294">
        <f t="shared" si="3"/>
        <v>55.000000000000007</v>
      </c>
      <c r="K36" s="351" t="s">
        <v>845</v>
      </c>
      <c r="L36" s="294" t="e">
        <f t="shared" si="10"/>
        <v>#VALUE!</v>
      </c>
      <c r="M36" s="18"/>
      <c r="N36" s="294" t="str">
        <f t="shared" si="5"/>
        <v xml:space="preserve"> </v>
      </c>
      <c r="O36" s="348" t="s">
        <v>24</v>
      </c>
      <c r="P36" s="294" t="str">
        <f t="shared" si="6"/>
        <v>AB</v>
      </c>
      <c r="Q36" s="327" t="e">
        <f t="shared" si="7"/>
        <v>#VALUE!</v>
      </c>
      <c r="R36" s="328" t="e">
        <f t="shared" si="8"/>
        <v>#VALUE!</v>
      </c>
    </row>
    <row r="37" spans="1:18" ht="28.8">
      <c r="A37" s="348">
        <v>31</v>
      </c>
      <c r="B37" s="352" t="s">
        <v>853</v>
      </c>
      <c r="C37" s="348">
        <v>21</v>
      </c>
      <c r="D37" s="294">
        <f t="shared" si="0"/>
        <v>52.5</v>
      </c>
      <c r="E37" s="22"/>
      <c r="F37" s="294" t="str">
        <f t="shared" si="1"/>
        <v xml:space="preserve"> </v>
      </c>
      <c r="G37" s="353">
        <v>4</v>
      </c>
      <c r="H37" s="294">
        <f t="shared" si="9"/>
        <v>10</v>
      </c>
      <c r="I37" s="348">
        <v>8</v>
      </c>
      <c r="J37" s="294">
        <f t="shared" si="3"/>
        <v>20</v>
      </c>
      <c r="K37" s="351">
        <v>16</v>
      </c>
      <c r="L37" s="294">
        <f t="shared" si="10"/>
        <v>45.714285714285715</v>
      </c>
      <c r="M37" s="18"/>
      <c r="N37" s="294" t="str">
        <f t="shared" si="5"/>
        <v xml:space="preserve"> </v>
      </c>
      <c r="O37" s="348">
        <v>8</v>
      </c>
      <c r="P37" s="294">
        <f t="shared" si="6"/>
        <v>22.857142857142858</v>
      </c>
      <c r="Q37" s="327">
        <f t="shared" si="7"/>
        <v>151.07142857142858</v>
      </c>
      <c r="R37" s="328">
        <f t="shared" si="8"/>
        <v>30.214285714285719</v>
      </c>
    </row>
    <row r="38" spans="1:18" ht="28.8">
      <c r="A38" s="348">
        <v>32</v>
      </c>
      <c r="B38" s="352" t="s">
        <v>854</v>
      </c>
      <c r="C38" s="348">
        <v>33</v>
      </c>
      <c r="D38" s="294">
        <f t="shared" si="0"/>
        <v>82.5</v>
      </c>
      <c r="E38" s="22"/>
      <c r="F38" s="294" t="str">
        <f t="shared" si="1"/>
        <v xml:space="preserve"> </v>
      </c>
      <c r="G38" s="353">
        <v>17</v>
      </c>
      <c r="H38" s="294">
        <f t="shared" si="9"/>
        <v>42.5</v>
      </c>
      <c r="I38" s="348">
        <v>35</v>
      </c>
      <c r="J38" s="294">
        <f t="shared" si="3"/>
        <v>87.5</v>
      </c>
      <c r="K38" s="351">
        <v>32</v>
      </c>
      <c r="L38" s="294">
        <f t="shared" si="10"/>
        <v>91.428571428571431</v>
      </c>
      <c r="M38" s="18"/>
      <c r="N38" s="294" t="str">
        <f t="shared" si="5"/>
        <v xml:space="preserve"> </v>
      </c>
      <c r="O38" s="348">
        <v>27</v>
      </c>
      <c r="P38" s="294">
        <f t="shared" si="6"/>
        <v>77.142857142857153</v>
      </c>
      <c r="Q38" s="327">
        <f t="shared" si="7"/>
        <v>381.07142857142861</v>
      </c>
      <c r="R38" s="328">
        <f t="shared" si="8"/>
        <v>76.214285714285722</v>
      </c>
    </row>
    <row r="39" spans="1:18" ht="28.8">
      <c r="A39" s="348">
        <v>33</v>
      </c>
      <c r="B39" s="352" t="s">
        <v>855</v>
      </c>
      <c r="C39" s="348">
        <v>34</v>
      </c>
      <c r="D39" s="294">
        <f t="shared" si="0"/>
        <v>85</v>
      </c>
      <c r="E39" s="22"/>
      <c r="F39" s="294" t="str">
        <f t="shared" si="1"/>
        <v xml:space="preserve"> </v>
      </c>
      <c r="G39" s="353">
        <v>38</v>
      </c>
      <c r="H39" s="294">
        <f t="shared" si="9"/>
        <v>95</v>
      </c>
      <c r="I39" s="348">
        <v>32</v>
      </c>
      <c r="J39" s="294">
        <f t="shared" si="3"/>
        <v>80</v>
      </c>
      <c r="K39" s="351">
        <v>33</v>
      </c>
      <c r="L39" s="294">
        <f t="shared" si="10"/>
        <v>94.285714285714278</v>
      </c>
      <c r="M39" s="18"/>
      <c r="N39" s="294" t="str">
        <f t="shared" si="5"/>
        <v xml:space="preserve"> </v>
      </c>
      <c r="O39" s="348">
        <v>32</v>
      </c>
      <c r="P39" s="294">
        <f t="shared" si="6"/>
        <v>91.428571428571431</v>
      </c>
      <c r="Q39" s="327">
        <f t="shared" si="7"/>
        <v>445.71428571428572</v>
      </c>
      <c r="R39" s="328">
        <f t="shared" si="8"/>
        <v>89.142857142857139</v>
      </c>
    </row>
    <row r="40" spans="1:18" ht="28.8">
      <c r="A40" s="348">
        <v>34</v>
      </c>
      <c r="B40" s="352" t="s">
        <v>856</v>
      </c>
      <c r="C40" s="348">
        <v>23</v>
      </c>
      <c r="D40" s="294">
        <f t="shared" si="0"/>
        <v>57.499999999999993</v>
      </c>
      <c r="E40" s="22"/>
      <c r="F40" s="294" t="str">
        <f t="shared" si="1"/>
        <v xml:space="preserve"> </v>
      </c>
      <c r="G40" s="353" t="s">
        <v>123</v>
      </c>
      <c r="H40" s="294" t="str">
        <f t="shared" si="9"/>
        <v>AB</v>
      </c>
      <c r="I40" s="348">
        <v>12</v>
      </c>
      <c r="J40" s="294">
        <v>34</v>
      </c>
      <c r="K40" s="351">
        <v>12</v>
      </c>
      <c r="L40" s="294">
        <f t="shared" si="10"/>
        <v>34.285714285714285</v>
      </c>
      <c r="M40" s="18"/>
      <c r="N40" s="294" t="str">
        <f t="shared" si="5"/>
        <v xml:space="preserve"> </v>
      </c>
      <c r="O40" s="348">
        <v>6</v>
      </c>
      <c r="P40" s="294">
        <f t="shared" si="6"/>
        <v>17.142857142857142</v>
      </c>
      <c r="Q40" s="327">
        <f t="shared" si="7"/>
        <v>142.92857142857142</v>
      </c>
      <c r="R40" s="328">
        <f t="shared" si="8"/>
        <v>28.585714285714282</v>
      </c>
    </row>
    <row r="41" spans="1:18" ht="28.8">
      <c r="A41" s="348">
        <v>35</v>
      </c>
      <c r="B41" s="352" t="s">
        <v>857</v>
      </c>
      <c r="C41" s="348">
        <v>29</v>
      </c>
      <c r="D41" s="294">
        <f t="shared" si="0"/>
        <v>72.5</v>
      </c>
      <c r="E41" s="22"/>
      <c r="F41" s="294" t="str">
        <f t="shared" si="1"/>
        <v xml:space="preserve"> </v>
      </c>
      <c r="G41" s="353">
        <v>14</v>
      </c>
      <c r="H41" s="294">
        <f t="shared" si="9"/>
        <v>35</v>
      </c>
      <c r="I41" s="348">
        <v>26</v>
      </c>
      <c r="J41" s="294">
        <f t="shared" ref="J41:J47" si="11">IF($B41="","",IF(I41=""," ",IF(I41="AB","AB",(I41/$J$5)*100)))</f>
        <v>65</v>
      </c>
      <c r="K41" s="351">
        <v>25</v>
      </c>
      <c r="L41" s="294">
        <f t="shared" si="10"/>
        <v>71.428571428571431</v>
      </c>
      <c r="M41" s="18"/>
      <c r="N41" s="294" t="str">
        <f t="shared" si="5"/>
        <v xml:space="preserve"> </v>
      </c>
      <c r="O41" s="348">
        <v>16</v>
      </c>
      <c r="P41" s="294">
        <f t="shared" si="6"/>
        <v>45.714285714285715</v>
      </c>
      <c r="Q41" s="327">
        <f t="shared" si="7"/>
        <v>289.64285714285717</v>
      </c>
      <c r="R41" s="328">
        <f t="shared" si="8"/>
        <v>57.928571428571438</v>
      </c>
    </row>
    <row r="42" spans="1:18" ht="28.8">
      <c r="A42" s="348">
        <v>36</v>
      </c>
      <c r="B42" s="352" t="s">
        <v>858</v>
      </c>
      <c r="C42" s="348">
        <v>30</v>
      </c>
      <c r="D42" s="294">
        <f t="shared" si="0"/>
        <v>75</v>
      </c>
      <c r="E42" s="22"/>
      <c r="F42" s="294" t="str">
        <f t="shared" si="1"/>
        <v xml:space="preserve"> </v>
      </c>
      <c r="G42" s="356">
        <v>11</v>
      </c>
      <c r="H42" s="294">
        <f t="shared" si="9"/>
        <v>27.500000000000004</v>
      </c>
      <c r="I42" s="348">
        <v>24</v>
      </c>
      <c r="J42" s="294">
        <f t="shared" si="11"/>
        <v>60</v>
      </c>
      <c r="K42" s="351">
        <v>26</v>
      </c>
      <c r="L42" s="294">
        <f t="shared" si="10"/>
        <v>74.285714285714292</v>
      </c>
      <c r="M42" s="18"/>
      <c r="N42" s="294" t="str">
        <f t="shared" si="5"/>
        <v xml:space="preserve"> </v>
      </c>
      <c r="O42" s="348">
        <v>19</v>
      </c>
      <c r="P42" s="294">
        <f t="shared" si="6"/>
        <v>54.285714285714285</v>
      </c>
      <c r="Q42" s="327">
        <f t="shared" si="7"/>
        <v>291.07142857142856</v>
      </c>
      <c r="R42" s="328">
        <f t="shared" si="8"/>
        <v>58.214285714285708</v>
      </c>
    </row>
    <row r="43" spans="1:18" ht="28.8">
      <c r="A43" s="348">
        <v>37</v>
      </c>
      <c r="B43" s="352" t="s">
        <v>859</v>
      </c>
      <c r="C43" s="348">
        <v>22</v>
      </c>
      <c r="D43" s="294">
        <f t="shared" si="0"/>
        <v>55.000000000000007</v>
      </c>
      <c r="E43" s="22"/>
      <c r="F43" s="294" t="str">
        <f t="shared" si="1"/>
        <v xml:space="preserve"> </v>
      </c>
      <c r="G43" s="353">
        <v>6</v>
      </c>
      <c r="H43" s="294">
        <f t="shared" si="9"/>
        <v>15</v>
      </c>
      <c r="I43" s="348">
        <v>7</v>
      </c>
      <c r="J43" s="294">
        <f t="shared" si="11"/>
        <v>17.5</v>
      </c>
      <c r="K43" s="351">
        <v>10</v>
      </c>
      <c r="L43" s="294">
        <f t="shared" si="10"/>
        <v>28.571428571428569</v>
      </c>
      <c r="M43" s="18"/>
      <c r="N43" s="294" t="str">
        <f t="shared" si="5"/>
        <v xml:space="preserve"> </v>
      </c>
      <c r="O43" s="348">
        <v>15</v>
      </c>
      <c r="P43" s="294">
        <f t="shared" si="6"/>
        <v>42.857142857142854</v>
      </c>
      <c r="Q43" s="327">
        <f t="shared" si="7"/>
        <v>158.92857142857142</v>
      </c>
      <c r="R43" s="328">
        <f t="shared" si="8"/>
        <v>31.785714285714281</v>
      </c>
    </row>
    <row r="44" spans="1:18" ht="28.8">
      <c r="A44" s="348">
        <v>38</v>
      </c>
      <c r="B44" s="357" t="s">
        <v>860</v>
      </c>
      <c r="C44" s="343">
        <v>20</v>
      </c>
      <c r="D44" s="294">
        <f t="shared" si="0"/>
        <v>50</v>
      </c>
      <c r="E44" s="22"/>
      <c r="F44" s="294" t="str">
        <f t="shared" si="1"/>
        <v xml:space="preserve"> </v>
      </c>
      <c r="G44" s="353">
        <v>1</v>
      </c>
      <c r="H44" s="294">
        <f t="shared" si="9"/>
        <v>2.5</v>
      </c>
      <c r="I44" s="343">
        <v>10</v>
      </c>
      <c r="J44" s="294">
        <f t="shared" si="11"/>
        <v>25</v>
      </c>
      <c r="K44" s="351">
        <v>13</v>
      </c>
      <c r="L44" s="294">
        <f t="shared" si="10"/>
        <v>37.142857142857146</v>
      </c>
      <c r="M44" s="18"/>
      <c r="N44" s="294" t="str">
        <f t="shared" si="5"/>
        <v xml:space="preserve"> </v>
      </c>
      <c r="O44" s="348">
        <v>6</v>
      </c>
      <c r="P44" s="294">
        <f t="shared" si="6"/>
        <v>17.142857142857142</v>
      </c>
      <c r="Q44" s="327">
        <f t="shared" si="7"/>
        <v>131.78571428571428</v>
      </c>
      <c r="R44" s="328">
        <f t="shared" si="8"/>
        <v>26.357142857142854</v>
      </c>
    </row>
    <row r="45" spans="1:18" ht="28.8">
      <c r="A45" s="348">
        <v>39</v>
      </c>
      <c r="B45" s="357" t="s">
        <v>861</v>
      </c>
      <c r="C45" s="343">
        <v>25</v>
      </c>
      <c r="D45" s="294">
        <f t="shared" si="0"/>
        <v>62.5</v>
      </c>
      <c r="E45" s="22"/>
      <c r="F45" s="294" t="str">
        <f t="shared" si="1"/>
        <v xml:space="preserve"> </v>
      </c>
      <c r="G45" s="356">
        <v>2</v>
      </c>
      <c r="H45" s="294">
        <f t="shared" si="9"/>
        <v>5</v>
      </c>
      <c r="I45" s="348" t="s">
        <v>123</v>
      </c>
      <c r="J45" s="294" t="str">
        <f t="shared" si="11"/>
        <v>AB</v>
      </c>
      <c r="K45" s="351">
        <v>6</v>
      </c>
      <c r="L45" s="294">
        <f t="shared" si="10"/>
        <v>17.142857142857142</v>
      </c>
      <c r="M45" s="18"/>
      <c r="N45" s="294" t="str">
        <f t="shared" si="5"/>
        <v xml:space="preserve"> </v>
      </c>
      <c r="O45" s="348">
        <v>12</v>
      </c>
      <c r="P45" s="294"/>
      <c r="Q45" s="327">
        <f t="shared" si="7"/>
        <v>84.642857142857139</v>
      </c>
      <c r="R45" s="328">
        <f t="shared" si="8"/>
        <v>16.928571428571427</v>
      </c>
    </row>
    <row r="46" spans="1:18" ht="28.8">
      <c r="A46" s="348">
        <v>40</v>
      </c>
      <c r="B46" s="358" t="s">
        <v>862</v>
      </c>
      <c r="C46" s="348">
        <v>20</v>
      </c>
      <c r="D46" s="294">
        <f t="shared" si="0"/>
        <v>50</v>
      </c>
      <c r="E46" s="22"/>
      <c r="F46" s="294" t="str">
        <f t="shared" si="1"/>
        <v xml:space="preserve"> </v>
      </c>
      <c r="G46" s="356">
        <v>2</v>
      </c>
      <c r="H46" s="294">
        <f t="shared" si="9"/>
        <v>5</v>
      </c>
      <c r="I46" s="348">
        <v>7</v>
      </c>
      <c r="J46" s="294">
        <f t="shared" si="11"/>
        <v>17.5</v>
      </c>
      <c r="K46" s="351">
        <v>8</v>
      </c>
      <c r="L46" s="294">
        <f t="shared" si="10"/>
        <v>22.857142857142858</v>
      </c>
      <c r="M46" s="18"/>
      <c r="N46" s="294" t="str">
        <f t="shared" si="5"/>
        <v xml:space="preserve"> </v>
      </c>
      <c r="O46" s="348">
        <v>12</v>
      </c>
      <c r="P46" s="294"/>
      <c r="Q46" s="327">
        <f t="shared" si="7"/>
        <v>95.357142857142861</v>
      </c>
      <c r="R46" s="328">
        <f t="shared" si="8"/>
        <v>19.071428571428573</v>
      </c>
    </row>
    <row r="47" spans="1:18" ht="28.8">
      <c r="A47" s="348">
        <v>41</v>
      </c>
      <c r="B47" s="358" t="s">
        <v>863</v>
      </c>
      <c r="C47" s="348">
        <v>33</v>
      </c>
      <c r="D47" s="294">
        <f t="shared" si="0"/>
        <v>82.5</v>
      </c>
      <c r="E47" s="22"/>
      <c r="F47" s="294"/>
      <c r="G47" s="356">
        <v>13</v>
      </c>
      <c r="H47" s="294">
        <f t="shared" si="9"/>
        <v>32.5</v>
      </c>
      <c r="I47" s="348">
        <v>17</v>
      </c>
      <c r="J47" s="294">
        <f t="shared" si="11"/>
        <v>42.5</v>
      </c>
      <c r="K47" s="351">
        <v>21</v>
      </c>
      <c r="L47" s="294">
        <f t="shared" si="10"/>
        <v>60</v>
      </c>
      <c r="M47" s="18">
        <v>21</v>
      </c>
      <c r="N47" s="294">
        <f t="shared" si="5"/>
        <v>52.5</v>
      </c>
      <c r="O47" s="348"/>
      <c r="P47" s="294"/>
      <c r="Q47" s="327"/>
      <c r="R47" s="328"/>
    </row>
    <row r="48" spans="1:18" ht="28.2">
      <c r="A48" s="446" t="s">
        <v>771</v>
      </c>
      <c r="B48" s="362"/>
      <c r="C48" s="372"/>
      <c r="D48" s="362"/>
      <c r="E48" s="372"/>
      <c r="F48" s="362"/>
      <c r="G48" s="372"/>
      <c r="H48" s="362"/>
      <c r="I48" s="372"/>
      <c r="J48" s="362"/>
      <c r="K48" s="351"/>
      <c r="L48" s="294" t="str">
        <f t="shared" si="10"/>
        <v/>
      </c>
      <c r="M48" s="372"/>
      <c r="N48" s="362"/>
      <c r="O48" s="372"/>
      <c r="P48" s="362"/>
      <c r="Q48" s="438"/>
      <c r="R48" s="362"/>
    </row>
    <row r="49" spans="1:18" ht="22.8">
      <c r="A49" s="447" t="s">
        <v>71</v>
      </c>
      <c r="B49" s="336" t="s">
        <v>72</v>
      </c>
      <c r="C49" s="457">
        <f>COUNTA(C7:C47)</f>
        <v>41</v>
      </c>
      <c r="D49" s="362"/>
      <c r="E49" s="457">
        <f>COUNTA(E7:E47)</f>
        <v>0</v>
      </c>
      <c r="F49" s="362"/>
      <c r="G49" s="457">
        <f>COUNTA(G7:G47)</f>
        <v>41</v>
      </c>
      <c r="H49" s="362"/>
      <c r="I49" s="457">
        <f>COUNTA(I7:I47)</f>
        <v>41</v>
      </c>
      <c r="J49" s="362"/>
      <c r="K49" s="457">
        <f>COUNTA(K7:K47)</f>
        <v>41</v>
      </c>
      <c r="L49" s="362"/>
      <c r="M49" s="457">
        <f>COUNTA(M7:M47)</f>
        <v>20</v>
      </c>
      <c r="N49" s="362"/>
      <c r="O49" s="457">
        <f>COUNTA(O7:O47)</f>
        <v>23</v>
      </c>
      <c r="P49" s="362"/>
      <c r="Q49" s="372"/>
      <c r="R49" s="362"/>
    </row>
    <row r="50" spans="1:18" ht="22.8">
      <c r="A50" s="381"/>
      <c r="B50" s="336" t="s">
        <v>772</v>
      </c>
      <c r="C50" s="449">
        <f>COUNTIF(C$7:C$45, "*ab*")</f>
        <v>0</v>
      </c>
      <c r="D50" s="362"/>
      <c r="E50" s="449">
        <f>COUNTIF(E$7:E$45, "*ab*")</f>
        <v>0</v>
      </c>
      <c r="F50" s="362"/>
      <c r="G50" s="449">
        <f>COUNTIF(G$7:G$45, "*ab*")</f>
        <v>2</v>
      </c>
      <c r="H50" s="362"/>
      <c r="I50" s="449">
        <f>COUNTIF(I$7:I$45, "*ab*")</f>
        <v>1</v>
      </c>
      <c r="J50" s="362"/>
      <c r="K50" s="449">
        <f>COUNTIF(K$7:K$45, "*ab*")</f>
        <v>0</v>
      </c>
      <c r="L50" s="362"/>
      <c r="M50" s="449">
        <f>COUNTIF(M$7:M$45, "*ab*")</f>
        <v>0</v>
      </c>
      <c r="N50" s="362"/>
      <c r="O50" s="449">
        <f>COUNTIF(O$7:O$45, "*ab*")</f>
        <v>1</v>
      </c>
      <c r="P50" s="362"/>
      <c r="Q50" s="449">
        <f>COUNTIF(Q$7:Q$45, "*ab*")</f>
        <v>0</v>
      </c>
      <c r="R50" s="362"/>
    </row>
    <row r="51" spans="1:18" ht="22.8">
      <c r="A51" s="381"/>
      <c r="B51" s="336" t="s">
        <v>74</v>
      </c>
      <c r="C51" s="449">
        <f>COUNTIFS(D7:D47,"&gt;0")</f>
        <v>41</v>
      </c>
      <c r="D51" s="362"/>
      <c r="E51" s="449">
        <f>COUNTIFS(F7:F47,"&gt;0")</f>
        <v>0</v>
      </c>
      <c r="F51" s="362"/>
      <c r="G51" s="449">
        <f>COUNTIFS(H7:H47,"&gt;0")</f>
        <v>38</v>
      </c>
      <c r="H51" s="362"/>
      <c r="I51" s="449">
        <f>COUNTIFS(J7:J47,"&gt;0")</f>
        <v>40</v>
      </c>
      <c r="J51" s="362"/>
      <c r="K51" s="449">
        <f>COUNTIFS(L7:L47,"&gt;0")</f>
        <v>39</v>
      </c>
      <c r="L51" s="362"/>
      <c r="M51" s="449">
        <f>COUNTIFS(N7:N47,"&gt;0")</f>
        <v>19</v>
      </c>
      <c r="N51" s="362"/>
      <c r="O51" s="449">
        <f>COUNTIFS(P7:P47,"&gt;0")</f>
        <v>20</v>
      </c>
      <c r="P51" s="362"/>
      <c r="Q51" s="433"/>
      <c r="R51" s="362"/>
    </row>
    <row r="52" spans="1:18" ht="17.399999999999999">
      <c r="A52" s="381"/>
      <c r="B52" s="336" t="s">
        <v>75</v>
      </c>
      <c r="C52" s="432">
        <f>C51-C54</f>
        <v>40</v>
      </c>
      <c r="D52" s="362"/>
      <c r="E52" s="432">
        <f>E51-E54</f>
        <v>0</v>
      </c>
      <c r="F52" s="362"/>
      <c r="G52" s="432">
        <f>G51-G54</f>
        <v>24</v>
      </c>
      <c r="H52" s="362"/>
      <c r="I52" s="432">
        <f>I51-I54</f>
        <v>39</v>
      </c>
      <c r="J52" s="362"/>
      <c r="K52" s="432">
        <f>K51-K54</f>
        <v>39</v>
      </c>
      <c r="L52" s="362"/>
      <c r="M52" s="432">
        <f>M51-M54</f>
        <v>15</v>
      </c>
      <c r="N52" s="362"/>
      <c r="O52" s="432">
        <f>O51-O54</f>
        <v>15</v>
      </c>
      <c r="P52" s="362"/>
      <c r="Q52" s="433"/>
      <c r="R52" s="362"/>
    </row>
    <row r="53" spans="1:18" ht="17.399999999999999">
      <c r="A53" s="381"/>
      <c r="B53" s="336" t="s">
        <v>76</v>
      </c>
      <c r="C53" s="434">
        <f>(C52/C51)*100</f>
        <v>97.560975609756099</v>
      </c>
      <c r="D53" s="362"/>
      <c r="E53" s="435"/>
      <c r="F53" s="362"/>
      <c r="G53" s="434">
        <f>(G52/G51)*100</f>
        <v>63.157894736842103</v>
      </c>
      <c r="H53" s="362"/>
      <c r="I53" s="434">
        <f>(I52/I51)*100</f>
        <v>97.5</v>
      </c>
      <c r="J53" s="362"/>
      <c r="K53" s="434">
        <f>(K52/K51)*100</f>
        <v>100</v>
      </c>
      <c r="L53" s="362"/>
      <c r="M53" s="434">
        <f>(M52/M51)*100</f>
        <v>78.94736842105263</v>
      </c>
      <c r="N53" s="362"/>
      <c r="O53" s="434">
        <f>(O52/O51)*100</f>
        <v>75</v>
      </c>
      <c r="P53" s="362"/>
      <c r="Q53" s="435"/>
      <c r="R53" s="362"/>
    </row>
    <row r="54" spans="1:18" ht="17.399999999999999">
      <c r="A54" s="381"/>
      <c r="B54" s="336" t="s">
        <v>77</v>
      </c>
      <c r="C54" s="432">
        <f>COUNTIFS(D6:D40,"&lt;=32",D6:D40,"&gt; 0")</f>
        <v>1</v>
      </c>
      <c r="D54" s="362"/>
      <c r="E54" s="433"/>
      <c r="F54" s="362"/>
      <c r="G54" s="432">
        <f>COUNTIFS(H6:H40,"&lt;=32",H6:H40,"&gt; 0")</f>
        <v>14</v>
      </c>
      <c r="H54" s="362"/>
      <c r="I54" s="432">
        <f>COUNTIFS(J6:J40,"&lt;=32",J6:J40,"&gt; 0")</f>
        <v>1</v>
      </c>
      <c r="J54" s="362"/>
      <c r="K54" s="432">
        <f>COUNTIFS(L6:L40,"&lt;=32",L6:L40,"&gt; 0")</f>
        <v>0</v>
      </c>
      <c r="L54" s="362"/>
      <c r="M54" s="432">
        <f>COUNTIFS(N6:N40,"&lt;=32",N6:N40,"&gt; 0")</f>
        <v>4</v>
      </c>
      <c r="N54" s="362"/>
      <c r="O54" s="432">
        <f>COUNTIFS(P6:P40,"&lt;=32",P6:P40,"&gt; 0")</f>
        <v>5</v>
      </c>
      <c r="P54" s="362"/>
      <c r="Q54" s="433"/>
      <c r="R54" s="362"/>
    </row>
    <row r="55" spans="1:18" ht="17.399999999999999">
      <c r="A55" s="381"/>
      <c r="B55" s="336" t="s">
        <v>78</v>
      </c>
      <c r="C55" s="432">
        <f>COUNTIFS(D6:D46,"&gt;=32.1",D6:D46,"&lt;=44")</f>
        <v>1</v>
      </c>
      <c r="D55" s="362"/>
      <c r="E55" s="433"/>
      <c r="F55" s="362"/>
      <c r="G55" s="432">
        <f>COUNTIFS(H6:H46,"&gt;=32.1",H6:H46,"&lt;=44")</f>
        <v>10</v>
      </c>
      <c r="H55" s="362"/>
      <c r="I55" s="432">
        <f>COUNTIFS(J6:J46,"&gt;=32.1",J6:J46,"&lt;=44")</f>
        <v>16</v>
      </c>
      <c r="J55" s="362"/>
      <c r="K55" s="432">
        <f>COUNTIFS(L6:L46,"&gt;=32.1",L6:L46,"&lt;=44")</f>
        <v>10</v>
      </c>
      <c r="L55" s="362"/>
      <c r="M55" s="432">
        <f>COUNTIFS(N6:N46,"&gt;=32.1",N6:N46,"&lt;=44")</f>
        <v>6</v>
      </c>
      <c r="N55" s="362"/>
      <c r="O55" s="432">
        <f>COUNTIFS(P6:P46,"&gt;=32.1",P6:P46,"&lt;=44")</f>
        <v>2</v>
      </c>
      <c r="P55" s="362"/>
      <c r="Q55" s="433"/>
      <c r="R55" s="362"/>
    </row>
    <row r="56" spans="1:18" ht="17.399999999999999">
      <c r="A56" s="381"/>
      <c r="B56" s="336" t="s">
        <v>79</v>
      </c>
      <c r="C56" s="432">
        <f>COUNTIFS(D6:D46,"&gt;=44.1",D6:D46,"&lt;=59")</f>
        <v>11</v>
      </c>
      <c r="D56" s="362"/>
      <c r="E56" s="433"/>
      <c r="F56" s="362"/>
      <c r="G56" s="432">
        <f>COUNTIFS(H6:H46,"&gt;=44.1",H6:H46,"&lt;=59")</f>
        <v>1</v>
      </c>
      <c r="H56" s="362"/>
      <c r="I56" s="432">
        <f>COUNTIFS(J6:J46,"&gt;=44.1",J6:J46,"&lt;=59")</f>
        <v>4</v>
      </c>
      <c r="J56" s="362"/>
      <c r="K56" s="432">
        <f>COUNTIFS(L6:L46,"&gt;=44.1",L6:L46,"&lt;=59")</f>
        <v>9</v>
      </c>
      <c r="L56" s="362"/>
      <c r="M56" s="432">
        <f>COUNTIFS(N6:N46,"&gt;=44.1",N6:N46,"&lt;=59")</f>
        <v>5</v>
      </c>
      <c r="N56" s="362"/>
      <c r="O56" s="432">
        <f>COUNTIFS(P6:P46,"&gt;=44.1",P6:P46,"&lt;=59")</f>
        <v>3</v>
      </c>
      <c r="P56" s="362"/>
      <c r="Q56" s="433"/>
      <c r="R56" s="362"/>
    </row>
    <row r="57" spans="1:18" ht="17.399999999999999">
      <c r="A57" s="381"/>
      <c r="B57" s="336" t="s">
        <v>80</v>
      </c>
      <c r="C57" s="432">
        <f>COUNTIFS(D6:D46,"&gt;=59.1",D6:D46,"&lt;=74")</f>
        <v>12</v>
      </c>
      <c r="D57" s="362"/>
      <c r="E57" s="433"/>
      <c r="F57" s="362"/>
      <c r="G57" s="432">
        <f>COUNTIFS(H6:H46,"&gt;=59.1",H6:H46,"&lt;=74")</f>
        <v>6</v>
      </c>
      <c r="H57" s="362"/>
      <c r="I57" s="432">
        <f>COUNTIFS(J6:J46,"&gt;=59.1",J6:J46,"&lt;=74")</f>
        <v>10</v>
      </c>
      <c r="J57" s="362"/>
      <c r="K57" s="432">
        <f>COUNTIFS(L6:L46,"&gt;=59.1",L6:L46,"&lt;=74")</f>
        <v>7</v>
      </c>
      <c r="L57" s="362"/>
      <c r="M57" s="432">
        <f>COUNTIFS(N6:N46,"&gt;=59.1",N6:N46,"&lt;=74")</f>
        <v>3</v>
      </c>
      <c r="N57" s="362"/>
      <c r="O57" s="432">
        <f>COUNTIFS(P6:P46,"&gt;=59.1",P6:P46,"&lt;=74")</f>
        <v>3</v>
      </c>
      <c r="P57" s="362"/>
      <c r="Q57" s="433"/>
      <c r="R57" s="362"/>
    </row>
    <row r="58" spans="1:18" ht="17.399999999999999">
      <c r="A58" s="381"/>
      <c r="B58" s="336" t="s">
        <v>81</v>
      </c>
      <c r="C58" s="436">
        <f>COUNTIFS(D6:D46,"&gt;=74.1",D6:D46,"&lt;89")</f>
        <v>13</v>
      </c>
      <c r="D58" s="362"/>
      <c r="E58" s="372"/>
      <c r="F58" s="362"/>
      <c r="G58" s="436">
        <f>COUNTIFS(H6:H46,"&gt;=74.1",H6:H46,"&lt;89")</f>
        <v>0</v>
      </c>
      <c r="H58" s="362"/>
      <c r="I58" s="436">
        <f>COUNTIFS(J6:J46,"&gt;=74.1",J6:J46,"&lt;89")</f>
        <v>2</v>
      </c>
      <c r="J58" s="362"/>
      <c r="K58" s="436">
        <f>COUNTIFS(L6:L46,"&gt;=74.1",L6:L46,"&lt;89")</f>
        <v>4</v>
      </c>
      <c r="L58" s="362"/>
      <c r="M58" s="436">
        <f>COUNTIFS(N6:N46,"&gt;=74.1",N6:N46,"&lt;89")</f>
        <v>0</v>
      </c>
      <c r="N58" s="362"/>
      <c r="O58" s="436">
        <f>COUNTIFS(P6:P46,"&gt;=74.1",P6:P46,"&lt;89")</f>
        <v>4</v>
      </c>
      <c r="P58" s="362"/>
      <c r="Q58" s="372"/>
      <c r="R58" s="362"/>
    </row>
    <row r="59" spans="1:18" ht="22.8">
      <c r="A59" s="382"/>
      <c r="B59" s="336" t="s">
        <v>82</v>
      </c>
      <c r="C59" s="432">
        <f>COUNTIF(D6:D46,"&gt;=89.1")</f>
        <v>2</v>
      </c>
      <c r="D59" s="362"/>
      <c r="E59" s="433"/>
      <c r="F59" s="362"/>
      <c r="G59" s="432">
        <f>COUNTIF(H6:H46,"&gt;=89.1")</f>
        <v>1</v>
      </c>
      <c r="H59" s="362"/>
      <c r="I59" s="432">
        <f>COUNTIF(J6:J46,"&gt;=89.1")</f>
        <v>3</v>
      </c>
      <c r="J59" s="362"/>
      <c r="K59" s="432">
        <f>COUNTIF(L6:L46,"&gt;=89.1")</f>
        <v>5</v>
      </c>
      <c r="L59" s="362"/>
      <c r="M59" s="432">
        <f>COUNTIF(N6:N46,"&gt;=89.1")</f>
        <v>0</v>
      </c>
      <c r="N59" s="362"/>
      <c r="O59" s="432">
        <f>COUNTIF(P6:P46,"&gt;=89.1")</f>
        <v>2</v>
      </c>
      <c r="P59" s="362"/>
      <c r="Q59" s="449">
        <f>COUNTIF(R6:R44,"&gt;=89.1")</f>
        <v>1</v>
      </c>
      <c r="R59" s="362"/>
    </row>
    <row r="60" spans="1:18" ht="15.6">
      <c r="A60" s="448" t="s">
        <v>85</v>
      </c>
      <c r="B60" s="371"/>
      <c r="C60" s="306" t="s">
        <v>773</v>
      </c>
      <c r="D60" s="51"/>
      <c r="E60" s="51"/>
      <c r="F60" s="51"/>
      <c r="G60" s="51"/>
      <c r="H60" s="51"/>
      <c r="I60" s="51"/>
      <c r="J60" s="51"/>
      <c r="K60" s="51"/>
      <c r="L60" s="302" t="str">
        <f t="shared" ref="L60:L61" si="12">IF($B60="","",IF(K60=""," ",IF(K60="AB","AB",(K60/$L$5)*100)))</f>
        <v/>
      </c>
      <c r="M60" s="448" t="s">
        <v>86</v>
      </c>
      <c r="N60" s="369"/>
      <c r="O60" s="369"/>
      <c r="P60" s="369"/>
      <c r="Q60" s="369"/>
      <c r="R60" s="371"/>
    </row>
    <row r="61" spans="1:18" ht="14.4">
      <c r="A61" s="417"/>
      <c r="B61" s="360"/>
      <c r="C61" s="105"/>
      <c r="D61" s="308"/>
      <c r="E61" s="308"/>
      <c r="F61" s="308"/>
      <c r="G61" s="308"/>
      <c r="H61" s="308"/>
      <c r="I61" s="308"/>
      <c r="J61" s="308"/>
      <c r="K61" s="308"/>
      <c r="L61" s="302" t="str">
        <f t="shared" si="12"/>
        <v/>
      </c>
      <c r="M61" s="417"/>
      <c r="N61" s="378"/>
      <c r="O61" s="378"/>
      <c r="P61" s="378"/>
      <c r="Q61" s="378"/>
      <c r="R61" s="360"/>
    </row>
  </sheetData>
  <mergeCells count="114">
    <mergeCell ref="M58:N58"/>
    <mergeCell ref="O58:P58"/>
    <mergeCell ref="K59:L59"/>
    <mergeCell ref="M59:N59"/>
    <mergeCell ref="O59:P59"/>
    <mergeCell ref="Q59:R59"/>
    <mergeCell ref="M60:R61"/>
    <mergeCell ref="G57:H57"/>
    <mergeCell ref="I57:J57"/>
    <mergeCell ref="K57:L57"/>
    <mergeCell ref="M57:N57"/>
    <mergeCell ref="O57:P57"/>
    <mergeCell ref="Q57:R57"/>
    <mergeCell ref="K58:L58"/>
    <mergeCell ref="Q58:R58"/>
    <mergeCell ref="C58:D58"/>
    <mergeCell ref="E58:F58"/>
    <mergeCell ref="G58:H58"/>
    <mergeCell ref="I58:J58"/>
    <mergeCell ref="C59:D59"/>
    <mergeCell ref="E59:F59"/>
    <mergeCell ref="A60:B61"/>
    <mergeCell ref="G59:H59"/>
    <mergeCell ref="I59:J59"/>
    <mergeCell ref="A49:A59"/>
    <mergeCell ref="I49:J49"/>
    <mergeCell ref="G54:H54"/>
    <mergeCell ref="I54:J54"/>
    <mergeCell ref="C55:D55"/>
    <mergeCell ref="E55:F55"/>
    <mergeCell ref="G55:H55"/>
    <mergeCell ref="I55:J55"/>
    <mergeCell ref="C56:D56"/>
    <mergeCell ref="E56:F56"/>
    <mergeCell ref="G56:H56"/>
    <mergeCell ref="I56:J56"/>
    <mergeCell ref="C57:D57"/>
    <mergeCell ref="E57:F57"/>
    <mergeCell ref="M54:N54"/>
    <mergeCell ref="O54:P54"/>
    <mergeCell ref="Q54:R54"/>
    <mergeCell ref="M56:N56"/>
    <mergeCell ref="O56:P56"/>
    <mergeCell ref="G53:H53"/>
    <mergeCell ref="I53:J53"/>
    <mergeCell ref="K55:L55"/>
    <mergeCell ref="M55:N55"/>
    <mergeCell ref="O55:P55"/>
    <mergeCell ref="Q55:R55"/>
    <mergeCell ref="K56:L56"/>
    <mergeCell ref="Q56:R56"/>
    <mergeCell ref="C52:D52"/>
    <mergeCell ref="E52:F52"/>
    <mergeCell ref="G52:H52"/>
    <mergeCell ref="I52:J52"/>
    <mergeCell ref="C53:D53"/>
    <mergeCell ref="E53:F53"/>
    <mergeCell ref="C54:D54"/>
    <mergeCell ref="E54:F54"/>
    <mergeCell ref="K54:L54"/>
    <mergeCell ref="G50:H50"/>
    <mergeCell ref="I50:J50"/>
    <mergeCell ref="K50:L50"/>
    <mergeCell ref="M50:N50"/>
    <mergeCell ref="O50:P50"/>
    <mergeCell ref="Q50:R50"/>
    <mergeCell ref="K51:L51"/>
    <mergeCell ref="Q51:R51"/>
    <mergeCell ref="C51:D51"/>
    <mergeCell ref="E51:F51"/>
    <mergeCell ref="G51:H51"/>
    <mergeCell ref="I51:J51"/>
    <mergeCell ref="C50:D50"/>
    <mergeCell ref="E50:F50"/>
    <mergeCell ref="A1:R1"/>
    <mergeCell ref="A2:R2"/>
    <mergeCell ref="A3:B3"/>
    <mergeCell ref="E3:H3"/>
    <mergeCell ref="I3:Q3"/>
    <mergeCell ref="A4:A6"/>
    <mergeCell ref="B4:B6"/>
    <mergeCell ref="C48:D48"/>
    <mergeCell ref="C49:D49"/>
    <mergeCell ref="E49:F49"/>
    <mergeCell ref="G49:H49"/>
    <mergeCell ref="K49:L49"/>
    <mergeCell ref="M49:N49"/>
    <mergeCell ref="O49:P49"/>
    <mergeCell ref="Q49:R49"/>
    <mergeCell ref="E48:F48"/>
    <mergeCell ref="C4:D4"/>
    <mergeCell ref="E4:F4"/>
    <mergeCell ref="A48:B48"/>
    <mergeCell ref="G48:H48"/>
    <mergeCell ref="I48:J48"/>
    <mergeCell ref="G4:H4"/>
    <mergeCell ref="I4:J4"/>
    <mergeCell ref="K4:L4"/>
    <mergeCell ref="M4:N4"/>
    <mergeCell ref="M48:N48"/>
    <mergeCell ref="O48:P48"/>
    <mergeCell ref="Q48:R48"/>
    <mergeCell ref="O4:P4"/>
    <mergeCell ref="Q4:R4"/>
    <mergeCell ref="M53:N53"/>
    <mergeCell ref="O53:P53"/>
    <mergeCell ref="M51:N51"/>
    <mergeCell ref="O51:P51"/>
    <mergeCell ref="K52:L52"/>
    <mergeCell ref="M52:N52"/>
    <mergeCell ref="O52:P52"/>
    <mergeCell ref="Q52:R52"/>
    <mergeCell ref="K53:L53"/>
    <mergeCell ref="Q53:R5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6A</vt:lpstr>
      <vt:lpstr>6B</vt:lpstr>
      <vt:lpstr>6C</vt:lpstr>
      <vt:lpstr>7A</vt:lpstr>
      <vt:lpstr>7B</vt:lpstr>
      <vt:lpstr>7C</vt:lpstr>
      <vt:lpstr>8A</vt:lpstr>
      <vt:lpstr>8B</vt:lpstr>
      <vt:lpstr>8C</vt:lpstr>
      <vt:lpstr>9A</vt:lpstr>
      <vt:lpstr>9B</vt:lpstr>
      <vt:lpstr>9C</vt:lpstr>
      <vt:lpstr>10A</vt:lpstr>
      <vt:lpstr>10B</vt:lpstr>
      <vt:lpstr>10C</vt:lpstr>
      <vt:lpstr>11A</vt:lpstr>
      <vt:lpstr>11B</vt:lpstr>
      <vt:lpstr>11C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 Verma</cp:lastModifiedBy>
  <dcterms:modified xsi:type="dcterms:W3CDTF">2026-06-06T14:29:30Z</dcterms:modified>
</cp:coreProperties>
</file>